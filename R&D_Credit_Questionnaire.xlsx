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Claude\Projects\R&amp;D Credit\Input\"/>
    </mc:Choice>
  </mc:AlternateContent>
  <xr:revisionPtr revIDLastSave="0" documentId="13_ncr:1_{2B482C1F-DEBC-4098-A16A-2FB8774FA4EE}" xr6:coauthVersionLast="47" xr6:coauthVersionMax="47" xr10:uidLastSave="{00000000-0000-0000-0000-000000000000}"/>
  <bookViews>
    <workbookView xWindow="-108" yWindow="-108" windowWidth="23256" windowHeight="13896" tabRatio="817" activeTab="5" xr2:uid="{00000000-000D-0000-FFFF-FFFF00000000}"/>
  </bookViews>
  <sheets>
    <sheet name="Calculation_Data" sheetId="1" r:id="rId1"/>
    <sheet name="R&amp;D TAX CREDIT" sheetId="16" r:id="rId2"/>
    <sheet name="P&amp;L" sheetId="2" r:id="rId3"/>
    <sheet name="Company Overview" sheetId="7" r:id="rId4"/>
    <sheet name="Project Overview" sheetId="8" r:id="rId5"/>
    <sheet name="Wage QRE" sheetId="9" r:id="rId6"/>
    <sheet name="Supply QRE" sheetId="10" r:id="rId7"/>
    <sheet name="Contractor US" sheetId="11" r:id="rId8"/>
    <sheet name="Contractor Foreign" sheetId="14" r:id="rId9"/>
    <sheet name="Gross Receipts" sheetId="12" r:id="rId10"/>
    <sheet name="Comments" sheetId="15" r:id="rId11"/>
    <sheet name="Documentation" sheetId="13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9" l="1"/>
  <c r="F6" i="9"/>
  <c r="F7" i="9"/>
  <c r="F8" i="9"/>
  <c r="F9" i="9"/>
  <c r="F10" i="9"/>
  <c r="F11" i="9"/>
  <c r="F12" i="9"/>
  <c r="F3" i="9" l="1"/>
  <c r="F4" i="9"/>
  <c r="F2" i="9"/>
  <c r="I2" i="10"/>
  <c r="I1" i="10"/>
  <c r="I3" i="10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" i="10"/>
  <c r="C10" i="12"/>
  <c r="B10" i="12"/>
  <c r="F2" i="11"/>
  <c r="H1" i="9" l="1"/>
  <c r="C9" i="1"/>
  <c r="H1" i="11"/>
  <c r="H1" i="14"/>
</calcChain>
</file>

<file path=xl/sharedStrings.xml><?xml version="1.0" encoding="utf-8"?>
<sst xmlns="http://schemas.openxmlformats.org/spreadsheetml/2006/main" count="315" uniqueCount="222">
  <si>
    <t>Description</t>
  </si>
  <si>
    <t>company_name</t>
  </si>
  <si>
    <t>entity_type</t>
  </si>
  <si>
    <t>C Corporation</t>
  </si>
  <si>
    <t>basic_research_payments</t>
  </si>
  <si>
    <t>tax_year</t>
  </si>
  <si>
    <t>qre_wages</t>
  </si>
  <si>
    <t>qre_supplies</t>
  </si>
  <si>
    <t>qre_contract_research</t>
  </si>
  <si>
    <t>qre_yr_minus1</t>
  </si>
  <si>
    <t>qre_yr_minus3</t>
  </si>
  <si>
    <t>Project Name</t>
  </si>
  <si>
    <t>What Technical Challenges Did You Face?</t>
  </si>
  <si>
    <t>How Did You Test or Evaluate Solutions?</t>
  </si>
  <si>
    <t>Project Status (Completed/Ongoing)</t>
  </si>
  <si>
    <t>Employee Name</t>
  </si>
  <si>
    <t>Work Performed</t>
  </si>
  <si>
    <t>Available? (Yes/No)</t>
  </si>
  <si>
    <t>Document Type</t>
  </si>
  <si>
    <t>Payroll Reports</t>
  </si>
  <si>
    <t>Yes (CFO will provide)</t>
  </si>
  <si>
    <t>General Ledger</t>
  </si>
  <si>
    <t>Project Plans</t>
  </si>
  <si>
    <t>Design Documents</t>
  </si>
  <si>
    <t>Source Code Repository</t>
  </si>
  <si>
    <t>Testing Documentation</t>
  </si>
  <si>
    <t>Engineering Drawings</t>
  </si>
  <si>
    <t>Contractor Agreements</t>
  </si>
  <si>
    <t>Portal (Tides.Network, Inc.)</t>
  </si>
  <si>
    <t>Type</t>
  </si>
  <si>
    <t>Trial Balance</t>
  </si>
  <si>
    <t>As of Dec 31, 2024</t>
  </si>
  <si>
    <t>Non R&amp;D Expenses</t>
  </si>
  <si>
    <t>Sales</t>
  </si>
  <si>
    <t>Income</t>
  </si>
  <si>
    <t>Merchant Fees</t>
  </si>
  <si>
    <t>Accrual Basis Friday, June 19, 2026 08:18 PM GMTZ</t>
  </si>
  <si>
    <t>Yes</t>
  </si>
  <si>
    <t>No</t>
  </si>
  <si>
    <t>What tax form does [Company Name] file for tax year [tax _year]?</t>
  </si>
  <si>
    <t>What year did [Company Name] begin operations?</t>
  </si>
  <si>
    <t>What year did [Company Name] begin R&amp;D initiatives?</t>
  </si>
  <si>
    <t>What was the first year [Company Name] had revenue (from gross receipts, dividends, interest, gross rents, gross royalties, or other income)?</t>
  </si>
  <si>
    <t>What is [Company Name]'s primary industry?</t>
  </si>
  <si>
    <t>Does [Company Name] tax year end in December?</t>
  </si>
  <si>
    <t>Does any person or entity own more than 50% of [Company Name] in tax year [tax _year]?</t>
  </si>
  <si>
    <t>Does this person or entity own any other entities that are also performing R&amp;D?</t>
  </si>
  <si>
    <t>Has [Company Name] filed its [tax _year] tax return?</t>
  </si>
  <si>
    <t>Have you filed an extension for [tax _year] tax return?</t>
  </si>
  <si>
    <t>Did [Company Name] have more than $5 Million in revenue in tax year [tax _year]?</t>
  </si>
  <si>
    <t>What is the internal project due date?</t>
  </si>
  <si>
    <t>Type of Project</t>
  </si>
  <si>
    <t>Software</t>
  </si>
  <si>
    <t>Does this project have a Permitted Purpose?</t>
  </si>
  <si>
    <t>Is this project Technological in Nature?</t>
  </si>
  <si>
    <t>Were activities performed to Eliminate Uncertainty related to this project?</t>
  </si>
  <si>
    <t>Did activities performed for this project include Process of Experimentation?</t>
  </si>
  <si>
    <t>Was documentation retained displaying the process of experimentation used to eliminate technical uncertainty?</t>
  </si>
  <si>
    <t>Eligibility</t>
  </si>
  <si>
    <t>Eligible</t>
  </si>
  <si>
    <t>Job Title</t>
  </si>
  <si>
    <t>State</t>
  </si>
  <si>
    <t>Qualified %</t>
  </si>
  <si>
    <t>TX</t>
  </si>
  <si>
    <t>Vendor Name</t>
  </si>
  <si>
    <t>Amount</t>
  </si>
  <si>
    <t>Contractor Name</t>
  </si>
  <si>
    <t>Income Item</t>
  </si>
  <si>
    <t>Gross receipts or sales, less returns and allowances</t>
  </si>
  <si>
    <t>Dividends</t>
  </si>
  <si>
    <t>$ -</t>
  </si>
  <si>
    <t>Interest</t>
  </si>
  <si>
    <t>Gross Royalties</t>
  </si>
  <si>
    <t>Other Income</t>
  </si>
  <si>
    <t>Gross Rents (Form 8825)</t>
  </si>
  <si>
    <t>Other Adjustments</t>
  </si>
  <si>
    <t>Acquisition/Disposition Adjustment</t>
  </si>
  <si>
    <t>Total Gross Receipts</t>
  </si>
  <si>
    <t>Total Taxable Wages</t>
  </si>
  <si>
    <t>Country</t>
  </si>
  <si>
    <t>study_date</t>
  </si>
  <si>
    <t>[tax year]-2</t>
  </si>
  <si>
    <t>[tax year]-1</t>
  </si>
  <si>
    <t>P2P decentralized protocol to exchange digital assets</t>
  </si>
  <si>
    <t>Legal</t>
  </si>
  <si>
    <t>Calculation Total Wages</t>
  </si>
  <si>
    <t>calculated_qre_wages</t>
  </si>
  <si>
    <t>Total</t>
  </si>
  <si>
    <t>US contractors, use 100%</t>
  </si>
  <si>
    <t>qre_contract_US</t>
  </si>
  <si>
    <t>qre_contract_foreign</t>
  </si>
  <si>
    <t>qre_general_supplies</t>
  </si>
  <si>
    <t>qre_IT_supplies</t>
  </si>
  <si>
    <t>rd_credit_amount</t>
  </si>
  <si>
    <t>field_id</t>
  </si>
  <si>
    <t>value</t>
  </si>
  <si>
    <t>comment_type</t>
  </si>
  <si>
    <t>comment</t>
  </si>
  <si>
    <t>include_in_report</t>
  </si>
  <si>
    <t>This is juts a draft, final numbers to be reviewd</t>
  </si>
  <si>
    <t>Do you like me?</t>
  </si>
  <si>
    <t>qre_yr_minus2</t>
  </si>
  <si>
    <t>preparer_name</t>
  </si>
  <si>
    <t>Event Sponsorship</t>
  </si>
  <si>
    <t>Total Income</t>
  </si>
  <si>
    <t>Cost of Goods Sold</t>
  </si>
  <si>
    <t>Total Cost of Goods Sold</t>
  </si>
  <si>
    <t>Gross Profit</t>
  </si>
  <si>
    <t>Expenses</t>
  </si>
  <si>
    <t>AMORTIZATION</t>
  </si>
  <si>
    <t>Depreciation</t>
  </si>
  <si>
    <t>Employee Related</t>
  </si>
  <si>
    <t>401(K) Expense</t>
  </si>
  <si>
    <t>Employee Benefits</t>
  </si>
  <si>
    <t>Health Insurance</t>
  </si>
  <si>
    <t>Payroll</t>
  </si>
  <si>
    <t>Employer Payroll Taxes</t>
  </si>
  <si>
    <t>Gross Wages</t>
  </si>
  <si>
    <t>Regular Wages</t>
  </si>
  <si>
    <t>Total Gross Wages</t>
  </si>
  <si>
    <t>Payroll Fee</t>
  </si>
  <si>
    <t>Reimbursement Expenses</t>
  </si>
  <si>
    <t>Total Payroll</t>
  </si>
  <si>
    <t>Payroll &amp; Benefits Administration</t>
  </si>
  <si>
    <t>Professional Development</t>
  </si>
  <si>
    <t>Recruiting</t>
  </si>
  <si>
    <t>Total Employee Related</t>
  </si>
  <si>
    <t>Facilities</t>
  </si>
  <si>
    <t>Rent</t>
  </si>
  <si>
    <t>Total Facilities</t>
  </si>
  <si>
    <t>Franchise Tax</t>
  </si>
  <si>
    <t>General &amp; Administrative</t>
  </si>
  <si>
    <t>Bank Fees</t>
  </si>
  <si>
    <t>Business Insurance</t>
  </si>
  <si>
    <t>Dues &amp; Subscriptions</t>
  </si>
  <si>
    <t>Office Expenses</t>
  </si>
  <si>
    <t>Other Contractors</t>
  </si>
  <si>
    <t>Shipping and Handling</t>
  </si>
  <si>
    <t>Total General &amp; Administrative</t>
  </si>
  <si>
    <t>Hosting</t>
  </si>
  <si>
    <t>IT Expense</t>
  </si>
  <si>
    <t>Computer Hardware &amp; Equipment</t>
  </si>
  <si>
    <t>Software &amp; Web Services</t>
  </si>
  <si>
    <t>Telephone and Internet</t>
  </si>
  <si>
    <t>Total IT Expense</t>
  </si>
  <si>
    <t>Licenses and Fees</t>
  </si>
  <si>
    <t>Meals &amp; Entertainment</t>
  </si>
  <si>
    <t>Entertainment</t>
  </si>
  <si>
    <t>Meals</t>
  </si>
  <si>
    <t>Total Meals &amp; Entertainment</t>
  </si>
  <si>
    <t>Professional Fees</t>
  </si>
  <si>
    <t>Engineering, Product &amp; Design</t>
  </si>
  <si>
    <t>Finance &amp; Accounting</t>
  </si>
  <si>
    <t>Management Consulting &amp; Strategy</t>
  </si>
  <si>
    <t>Total Professional Fees</t>
  </si>
  <si>
    <t>QuickBooks Payments Fees</t>
  </si>
  <si>
    <t>Sales &amp; Marketing</t>
  </si>
  <si>
    <t>Advertising</t>
  </si>
  <si>
    <t>Branding</t>
  </si>
  <si>
    <t>Events and Conferences</t>
  </si>
  <si>
    <t>Marketing Contractors</t>
  </si>
  <si>
    <t>Public Relations</t>
  </si>
  <si>
    <t>Total Sales &amp; Marketing</t>
  </si>
  <si>
    <t>Travel</t>
  </si>
  <si>
    <t>Air Travel</t>
  </si>
  <si>
    <t>Ground Transportation &amp; Parking</t>
  </si>
  <si>
    <t>Lodging</t>
  </si>
  <si>
    <t>Total Travel</t>
  </si>
  <si>
    <t>Unapplied Cash Bill Payment Expense</t>
  </si>
  <si>
    <t>Total Expenses</t>
  </si>
  <si>
    <t>Net Operating Income</t>
  </si>
  <si>
    <t>Other Expenses</t>
  </si>
  <si>
    <t>Interest Expense</t>
  </si>
  <si>
    <t>Loss on Sale of Digital Asset</t>
  </si>
  <si>
    <t>Taxes</t>
  </si>
  <si>
    <t>Total Other Expenses</t>
  </si>
  <si>
    <t>Net Other Income</t>
  </si>
  <si>
    <t>Net Income</t>
  </si>
  <si>
    <t>Label</t>
  </si>
  <si>
    <t>Value</t>
  </si>
  <si>
    <t>Company Name</t>
  </si>
  <si>
    <t>Tax Year</t>
  </si>
  <si>
    <t>Entity Type</t>
  </si>
  <si>
    <t>Are you electing the reduced credit under section 280C?</t>
  </si>
  <si>
    <t>Wages for qualified services</t>
  </si>
  <si>
    <t>Cost of supplies</t>
  </si>
  <si>
    <t>Rental or lease costs of computers</t>
  </si>
  <si>
    <t>Applicable percentage of contract research expenses</t>
  </si>
  <si>
    <t>Total qualified research expenses</t>
  </si>
  <si>
    <t>50% of the total qualified research expenses</t>
  </si>
  <si>
    <t>Total R&amp;D TAX CREDIT</t>
  </si>
  <si>
    <t>annual_gross_receipts_yr_minus1</t>
  </si>
  <si>
    <t>annual_gross_receipts_yr_minus2</t>
  </si>
  <si>
    <t>annual_gross_receipts_yr_minus3</t>
  </si>
  <si>
    <t>annual_gross_receipts_yr_minus4</t>
  </si>
  <si>
    <t>year_started</t>
  </si>
  <si>
    <t>year_research_started</t>
  </si>
  <si>
    <t>company_industry</t>
  </si>
  <si>
    <t>EIN_number</t>
  </si>
  <si>
    <t>MANTA RAY LABS, INC</t>
  </si>
  <si>
    <t>86-1702296</t>
  </si>
  <si>
    <t>Francisco Hndz Iglesias</t>
  </si>
  <si>
    <t>Eric The Greatest</t>
  </si>
  <si>
    <t>this is the aver</t>
  </si>
  <si>
    <t>Tindes</t>
  </si>
  <si>
    <t>Charles Bowman</t>
  </si>
  <si>
    <t>Leslie Dilley</t>
  </si>
  <si>
    <t>Chandra Duggirala</t>
  </si>
  <si>
    <t>Veerabhadra Duggirala</t>
  </si>
  <si>
    <t>Alexey Melnichenko</t>
  </si>
  <si>
    <t>Jack Mills</t>
  </si>
  <si>
    <t>Abhinav Sinha</t>
  </si>
  <si>
    <t>Hanson So</t>
  </si>
  <si>
    <t>Anand Suresh</t>
  </si>
  <si>
    <t>Jonathan Thomas</t>
  </si>
  <si>
    <t>Breana Van Den Heuvel</t>
  </si>
  <si>
    <t>Engineer</t>
  </si>
  <si>
    <t>Business Development</t>
  </si>
  <si>
    <t>CEO</t>
  </si>
  <si>
    <t>CTO</t>
  </si>
  <si>
    <t>COO</t>
  </si>
  <si>
    <t>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</si>
</sst>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[$-409]dd\-mmm\-yy;@"/>
  </numFmts>
  <fonts count="2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3" fontId="16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5" fillId="0" borderId="0" applyFont="0" applyFill="0" applyBorder="0" applyAlignment="0" applyProtection="0"/>
  </cellStyleXfs>
  <cellXfs count="87">
    <xf numFmtId="0" fontId="0" fillId="0" borderId="0" xfId="0"/>
    <xf numFmtId="0" fontId="14" fillId="0" borderId="0" xfId="0" applyFont="1"/>
    <xf numFmtId="0" fontId="15" fillId="2" borderId="1" xfId="0" applyFont="1" applyFill="1" applyBorder="1"/>
    <xf numFmtId="43" fontId="0" fillId="0" borderId="0" xfId="1" applyFont="1"/>
    <xf numFmtId="0" fontId="12" fillId="0" borderId="0" xfId="0" applyFont="1"/>
    <xf numFmtId="0" fontId="18" fillId="0" borderId="4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14" fontId="19" fillId="0" borderId="3" xfId="0" applyNumberFormat="1" applyFont="1" applyBorder="1" applyAlignment="1">
      <alignment vertical="center" wrapText="1"/>
    </xf>
    <xf numFmtId="0" fontId="0" fillId="0" borderId="0" xfId="0" applyAlignment="1">
      <alignment horizontal="right"/>
    </xf>
    <xf numFmtId="9" fontId="17" fillId="0" borderId="1" xfId="0" applyNumberFormat="1" applyFont="1" applyBorder="1" applyAlignment="1">
      <alignment horizontal="right" vertical="center" wrapText="1"/>
    </xf>
    <xf numFmtId="0" fontId="11" fillId="0" borderId="0" xfId="0" applyFont="1"/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5" fillId="2" borderId="6" xfId="0" applyFont="1" applyFill="1" applyBorder="1"/>
    <xf numFmtId="0" fontId="17" fillId="0" borderId="6" xfId="0" applyFont="1" applyBorder="1" applyAlignment="1">
      <alignment horizontal="center" vertical="center" wrapText="1"/>
    </xf>
    <xf numFmtId="9" fontId="17" fillId="0" borderId="6" xfId="0" applyNumberFormat="1" applyFont="1" applyBorder="1" applyAlignment="1">
      <alignment horizontal="right" vertical="center" wrapText="1"/>
    </xf>
    <xf numFmtId="0" fontId="0" fillId="0" borderId="6" xfId="0" applyBorder="1"/>
    <xf numFmtId="0" fontId="10" fillId="0" borderId="0" xfId="0" applyFont="1"/>
    <xf numFmtId="0" fontId="17" fillId="0" borderId="6" xfId="0" applyFont="1" applyBorder="1" applyAlignment="1">
      <alignment vertical="center" wrapText="1"/>
    </xf>
    <xf numFmtId="0" fontId="17" fillId="0" borderId="6" xfId="0" applyFont="1" applyBorder="1" applyAlignment="1">
      <alignment horizontal="right" vertical="center" wrapText="1"/>
    </xf>
    <xf numFmtId="0" fontId="23" fillId="0" borderId="6" xfId="0" applyFont="1" applyBorder="1" applyAlignment="1">
      <alignment wrapText="1"/>
    </xf>
    <xf numFmtId="14" fontId="17" fillId="0" borderId="6" xfId="0" applyNumberFormat="1" applyFont="1" applyBorder="1" applyAlignment="1">
      <alignment horizontal="right" vertical="center" wrapText="1"/>
    </xf>
    <xf numFmtId="164" fontId="24" fillId="0" borderId="0" xfId="0" applyNumberFormat="1" applyFont="1" applyAlignment="1">
      <alignment horizontal="right"/>
    </xf>
    <xf numFmtId="9" fontId="10" fillId="0" borderId="0" xfId="2" applyFont="1"/>
    <xf numFmtId="9" fontId="0" fillId="0" borderId="0" xfId="2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0" fillId="0" borderId="0" xfId="1" applyFont="1" applyAlignment="1">
      <alignment wrapText="1"/>
    </xf>
    <xf numFmtId="43" fontId="17" fillId="0" borderId="1" xfId="1" applyFont="1" applyBorder="1" applyAlignment="1">
      <alignment horizontal="right" vertical="center" wrapText="1"/>
    </xf>
    <xf numFmtId="0" fontId="23" fillId="0" borderId="6" xfId="0" applyFont="1" applyBorder="1"/>
    <xf numFmtId="164" fontId="23" fillId="0" borderId="6" xfId="0" applyNumberFormat="1" applyFont="1" applyBorder="1" applyAlignment="1">
      <alignment horizontal="right"/>
    </xf>
    <xf numFmtId="0" fontId="10" fillId="0" borderId="6" xfId="0" applyFont="1" applyBorder="1"/>
    <xf numFmtId="43" fontId="17" fillId="0" borderId="6" xfId="1" applyFont="1" applyBorder="1" applyAlignment="1">
      <alignment horizontal="right" vertical="center" wrapText="1"/>
    </xf>
    <xf numFmtId="0" fontId="10" fillId="3" borderId="0" xfId="0" applyFont="1" applyFill="1"/>
    <xf numFmtId="43" fontId="14" fillId="0" borderId="0" xfId="1" applyFont="1"/>
    <xf numFmtId="43" fontId="13" fillId="0" borderId="0" xfId="1" applyFont="1"/>
    <xf numFmtId="0" fontId="14" fillId="0" borderId="0" xfId="1" applyNumberFormat="1" applyFont="1"/>
    <xf numFmtId="165" fontId="0" fillId="0" borderId="0" xfId="1" applyNumberFormat="1" applyFont="1"/>
    <xf numFmtId="0" fontId="22" fillId="0" borderId="6" xfId="0" applyFont="1" applyBorder="1"/>
    <xf numFmtId="9" fontId="18" fillId="0" borderId="6" xfId="2" applyFont="1" applyFill="1" applyBorder="1" applyAlignment="1">
      <alignment horizontal="left" vertical="center" wrapText="1" indent="1"/>
    </xf>
    <xf numFmtId="43" fontId="18" fillId="0" borderId="1" xfId="1" applyFont="1" applyFill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1"/>
    </xf>
    <xf numFmtId="43" fontId="0" fillId="0" borderId="0" xfId="0" applyNumberFormat="1"/>
    <xf numFmtId="3" fontId="17" fillId="0" borderId="6" xfId="0" applyNumberFormat="1" applyFont="1" applyBorder="1" applyAlignment="1">
      <alignment vertical="center" wrapText="1"/>
    </xf>
    <xf numFmtId="9" fontId="17" fillId="0" borderId="6" xfId="2" applyFont="1" applyFill="1" applyBorder="1" applyAlignment="1">
      <alignment horizontal="right" vertical="center" wrapText="1"/>
    </xf>
    <xf numFmtId="43" fontId="17" fillId="0" borderId="1" xfId="1" applyFont="1" applyFill="1" applyBorder="1" applyAlignment="1">
      <alignment horizontal="right" vertical="center" wrapText="1"/>
    </xf>
    <xf numFmtId="43" fontId="0" fillId="0" borderId="0" xfId="1" applyFont="1" applyFill="1"/>
    <xf numFmtId="9" fontId="0" fillId="0" borderId="6" xfId="2" applyFont="1" applyFill="1" applyBorder="1"/>
    <xf numFmtId="9" fontId="0" fillId="0" borderId="0" xfId="2" applyFont="1" applyFill="1"/>
    <xf numFmtId="0" fontId="17" fillId="0" borderId="6" xfId="0" applyFont="1" applyBorder="1" applyAlignment="1">
      <alignment horizontal="justify" vertical="center" wrapText="1"/>
    </xf>
    <xf numFmtId="43" fontId="17" fillId="0" borderId="6" xfId="1" applyFont="1" applyFill="1" applyBorder="1" applyAlignment="1">
      <alignment horizontal="right" vertical="center" wrapText="1"/>
    </xf>
    <xf numFmtId="43" fontId="0" fillId="0" borderId="6" xfId="1" applyFont="1" applyFill="1" applyBorder="1"/>
    <xf numFmtId="0" fontId="22" fillId="0" borderId="0" xfId="0" applyFont="1" applyAlignment="1">
      <alignment horizontal="center" vertical="center" wrapText="1"/>
    </xf>
    <xf numFmtId="0" fontId="9" fillId="0" borderId="0" xfId="0" applyFont="1"/>
    <xf numFmtId="0" fontId="8" fillId="0" borderId="0" xfId="0" applyFont="1"/>
    <xf numFmtId="0" fontId="7" fillId="0" borderId="0" xfId="0" applyFont="1"/>
    <xf numFmtId="8" fontId="0" fillId="0" borderId="0" xfId="1" applyNumberFormat="1" applyFont="1"/>
    <xf numFmtId="4" fontId="6" fillId="0" borderId="0" xfId="0" applyNumberFormat="1" applyFont="1"/>
    <xf numFmtId="44" fontId="0" fillId="0" borderId="0" xfId="3" applyFont="1"/>
    <xf numFmtId="0" fontId="5" fillId="0" borderId="0" xfId="0" applyFont="1"/>
    <xf numFmtId="0" fontId="4" fillId="0" borderId="0" xfId="0" applyFont="1"/>
    <xf numFmtId="0" fontId="0" fillId="0" borderId="0" xfId="1" applyNumberFormat="1" applyFont="1"/>
    <xf numFmtId="0" fontId="3" fillId="0" borderId="0" xfId="1" applyNumberFormat="1" applyFont="1"/>
    <xf numFmtId="0" fontId="2" fillId="0" borderId="0" xfId="0" applyFont="1"/>
    <xf numFmtId="8" fontId="0" fillId="0" borderId="0" xfId="0" applyNumberFormat="1"/>
    <xf numFmtId="0" fontId="18" fillId="0" borderId="6" xfId="0" applyFont="1" applyBorder="1" applyAlignment="1">
      <alignment horizontal="left" vertical="center" wrapText="1"/>
    </xf>
    <xf numFmtId="9" fontId="18" fillId="0" borderId="6" xfId="2" applyFont="1" applyBorder="1" applyAlignment="1">
      <alignment horizontal="left" vertical="center" wrapText="1"/>
    </xf>
    <xf numFmtId="43" fontId="0" fillId="0" borderId="6" xfId="1" applyFont="1" applyBorder="1" applyAlignment="1">
      <alignment wrapText="1"/>
    </xf>
    <xf numFmtId="0" fontId="0" fillId="0" borderId="6" xfId="0" applyBorder="1" applyAlignment="1">
      <alignment horizontal="center"/>
    </xf>
    <xf numFmtId="43" fontId="0" fillId="0" borderId="6" xfId="1" applyFont="1" applyBorder="1"/>
    <xf numFmtId="0" fontId="24" fillId="0" borderId="6" xfId="0" applyFont="1" applyBorder="1"/>
    <xf numFmtId="4" fontId="24" fillId="0" borderId="6" xfId="0" applyNumberFormat="1" applyFont="1" applyBorder="1"/>
    <xf numFmtId="43" fontId="17" fillId="0" borderId="1" xfId="0" applyNumberFormat="1" applyFont="1" applyBorder="1" applyAlignment="1">
      <alignment vertical="center" wrapText="1"/>
    </xf>
    <xf numFmtId="0" fontId="15" fillId="0" borderId="6" xfId="0" applyFont="1" applyBorder="1"/>
    <xf numFmtId="43" fontId="15" fillId="0" borderId="6" xfId="1" applyFont="1" applyFill="1" applyBorder="1"/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vertical="center" wrapText="1"/>
    </xf>
    <xf numFmtId="0" fontId="15" fillId="0" borderId="7" xfId="0" applyFont="1" applyBorder="1"/>
    <xf numFmtId="43" fontId="15" fillId="0" borderId="1" xfId="1" applyFont="1" applyFill="1" applyBorder="1"/>
    <xf numFmtId="43" fontId="17" fillId="0" borderId="5" xfId="1" applyFont="1" applyBorder="1" applyAlignment="1">
      <alignment vertical="center" wrapText="1"/>
    </xf>
    <xf numFmtId="43" fontId="18" fillId="0" borderId="5" xfId="1" applyFont="1" applyBorder="1" applyAlignment="1">
      <alignment vertical="center" wrapText="1"/>
    </xf>
    <xf numFmtId="0" fontId="1" fillId="0" borderId="0" xfId="0" applyFont="1"/>
    <xf numFmtId="0" fontId="24" fillId="0" borderId="8" xfId="0" applyFont="1" applyBorder="1" applyAlignment="1">
      <alignment wrapText="1"/>
    </xf>
    <xf numFmtId="0" fontId="1" fillId="0" borderId="8" xfId="0" applyFont="1" applyBorder="1" applyAlignment="1">
      <alignment wrapText="1"/>
    </xf>
    <xf numFmtId="8" fontId="24" fillId="0" borderId="8" xfId="0" applyNumberFormat="1" applyFont="1" applyBorder="1" applyAlignment="1">
      <alignment horizontal="right" wrapText="1"/>
    </xf>
    <xf numFmtId="9" fontId="24" fillId="0" borderId="6" xfId="2" applyFont="1" applyBorder="1" applyAlignment="1">
      <alignment horizontal="right" vertical="center" wrapText="1"/>
    </xf>
    <xf numFmtId="9" fontId="24" fillId="0" borderId="0" xfId="2" applyFont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workbookViewId="0">
      <selection activeCell="C3" sqref="C3"/>
    </sheetView>
  </sheetViews>
  <sheetFormatPr defaultColWidth="14.44140625" defaultRowHeight="15" customHeight="1" x14ac:dyDescent="0.3"/>
  <cols>
    <col min="1" max="1" width="30.6640625" bestFit="1" customWidth="1"/>
    <col min="2" max="2" width="22" bestFit="1" customWidth="1"/>
    <col min="3" max="3" width="21.5546875" style="3" bestFit="1" customWidth="1"/>
    <col min="4" max="4" width="13.21875" customWidth="1"/>
    <col min="5" max="5" width="8.109375" bestFit="1" customWidth="1"/>
  </cols>
  <sheetData>
    <row r="1" spans="1:5" ht="14.4" x14ac:dyDescent="0.3">
      <c r="A1" s="52" t="s">
        <v>94</v>
      </c>
      <c r="B1" s="1" t="s">
        <v>0</v>
      </c>
      <c r="C1" s="52" t="s">
        <v>95</v>
      </c>
      <c r="D1" s="52"/>
      <c r="E1" s="52"/>
    </row>
    <row r="2" spans="1:5" ht="14.4" x14ac:dyDescent="0.3">
      <c r="A2" s="1"/>
    </row>
    <row r="3" spans="1:5" ht="14.4" x14ac:dyDescent="0.3">
      <c r="A3" s="54" t="s">
        <v>1</v>
      </c>
      <c r="C3" s="81" t="s">
        <v>204</v>
      </c>
    </row>
    <row r="4" spans="1:5" ht="14.4" x14ac:dyDescent="0.3">
      <c r="A4" s="1" t="s">
        <v>2</v>
      </c>
      <c r="C4" s="34" t="s">
        <v>3</v>
      </c>
    </row>
    <row r="5" spans="1:5" ht="14.4" x14ac:dyDescent="0.3">
      <c r="A5" s="1" t="s">
        <v>4</v>
      </c>
      <c r="C5" s="34">
        <v>0</v>
      </c>
    </row>
    <row r="6" spans="1:5" ht="14.4" x14ac:dyDescent="0.3">
      <c r="A6" s="63" t="s">
        <v>5</v>
      </c>
      <c r="C6" s="36">
        <v>2022</v>
      </c>
    </row>
    <row r="7" spans="1:5" ht="14.4" x14ac:dyDescent="0.3">
      <c r="A7" s="63" t="s">
        <v>198</v>
      </c>
      <c r="C7" s="62" t="s">
        <v>200</v>
      </c>
    </row>
    <row r="8" spans="1:5" ht="14.4" x14ac:dyDescent="0.3">
      <c r="A8" s="17" t="s">
        <v>6</v>
      </c>
      <c r="C8" s="34">
        <v>800000</v>
      </c>
    </row>
    <row r="9" spans="1:5" ht="14.4" x14ac:dyDescent="0.3">
      <c r="A9" s="4" t="s">
        <v>7</v>
      </c>
      <c r="C9" s="35">
        <f>'Supply QRE'!I1</f>
        <v>0</v>
      </c>
    </row>
    <row r="10" spans="1:5" ht="14.4" x14ac:dyDescent="0.3">
      <c r="A10" s="33" t="s">
        <v>89</v>
      </c>
      <c r="B10" s="17" t="s">
        <v>88</v>
      </c>
      <c r="C10" s="3">
        <v>12222.34</v>
      </c>
    </row>
    <row r="11" spans="1:5" ht="14.4" x14ac:dyDescent="0.3">
      <c r="A11" s="33" t="s">
        <v>90</v>
      </c>
      <c r="C11" s="3">
        <v>0</v>
      </c>
    </row>
    <row r="12" spans="1:5" ht="15" customHeight="1" x14ac:dyDescent="0.3">
      <c r="A12" s="55" t="s">
        <v>80</v>
      </c>
      <c r="C12" s="37">
        <v>46193</v>
      </c>
    </row>
    <row r="13" spans="1:5" ht="15" customHeight="1" x14ac:dyDescent="0.3">
      <c r="A13" s="54" t="s">
        <v>93</v>
      </c>
    </row>
    <row r="14" spans="1:5" ht="15" customHeight="1" x14ac:dyDescent="0.3">
      <c r="A14" s="55" t="s">
        <v>102</v>
      </c>
      <c r="C14" s="3" t="s">
        <v>202</v>
      </c>
    </row>
    <row r="15" spans="1:5" ht="15" customHeight="1" x14ac:dyDescent="0.3">
      <c r="A15" s="60" t="s">
        <v>195</v>
      </c>
      <c r="C15" s="61">
        <v>2020</v>
      </c>
    </row>
    <row r="16" spans="1:5" ht="15" customHeight="1" x14ac:dyDescent="0.3">
      <c r="A16" s="60" t="s">
        <v>196</v>
      </c>
      <c r="C16" s="61">
        <v>2022</v>
      </c>
    </row>
    <row r="17" spans="1:9" ht="15" customHeight="1" x14ac:dyDescent="0.3">
      <c r="A17" s="60" t="s">
        <v>197</v>
      </c>
    </row>
    <row r="18" spans="1:9" ht="14.4" x14ac:dyDescent="0.3">
      <c r="A18" s="1" t="s">
        <v>9</v>
      </c>
      <c r="C18" s="35">
        <v>5000</v>
      </c>
    </row>
    <row r="19" spans="1:9" ht="14.4" x14ac:dyDescent="0.3">
      <c r="A19" s="53" t="s">
        <v>101</v>
      </c>
      <c r="C19" s="35">
        <v>5000</v>
      </c>
    </row>
    <row r="20" spans="1:9" ht="15" customHeight="1" x14ac:dyDescent="0.3">
      <c r="A20" s="1" t="s">
        <v>10</v>
      </c>
      <c r="C20" s="35">
        <v>1000</v>
      </c>
    </row>
    <row r="21" spans="1:9" ht="15" customHeight="1" x14ac:dyDescent="0.3">
      <c r="A21" s="59" t="s">
        <v>191</v>
      </c>
      <c r="B21" t="s">
        <v>203</v>
      </c>
      <c r="C21" s="3">
        <v>100000</v>
      </c>
      <c r="H21" s="52"/>
      <c r="I21" s="52"/>
    </row>
    <row r="22" spans="1:9" ht="15" customHeight="1" x14ac:dyDescent="0.3">
      <c r="A22" s="59" t="s">
        <v>192</v>
      </c>
      <c r="C22" s="3">
        <v>125000</v>
      </c>
    </row>
    <row r="23" spans="1:9" ht="15" customHeight="1" x14ac:dyDescent="0.3">
      <c r="A23" s="59" t="s">
        <v>193</v>
      </c>
      <c r="C23" s="3">
        <v>40000</v>
      </c>
    </row>
    <row r="24" spans="1:9" ht="15" customHeight="1" x14ac:dyDescent="0.3">
      <c r="A24" s="59" t="s">
        <v>194</v>
      </c>
      <c r="C24" s="3">
        <v>2444440</v>
      </c>
    </row>
  </sheetData>
  <phoneticPr fontId="2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977F-4BFC-4FBB-89C8-7AD7039CAF56}">
  <dimension ref="A1:J21"/>
  <sheetViews>
    <sheetView workbookViewId="0">
      <selection activeCell="A12" sqref="A12"/>
    </sheetView>
  </sheetViews>
  <sheetFormatPr defaultRowHeight="14.4" x14ac:dyDescent="0.3"/>
  <cols>
    <col min="1" max="1" width="47.109375" bestFit="1" customWidth="1"/>
    <col min="2" max="2" width="15.109375" style="58" bestFit="1" customWidth="1"/>
  </cols>
  <sheetData>
    <row r="1" spans="1:2" x14ac:dyDescent="0.3">
      <c r="A1" t="s">
        <v>178</v>
      </c>
      <c r="B1" t="s">
        <v>179</v>
      </c>
    </row>
    <row r="2" spans="1:2" x14ac:dyDescent="0.3">
      <c r="A2" t="s">
        <v>180</v>
      </c>
      <c r="B2" t="s">
        <v>199</v>
      </c>
    </row>
    <row r="3" spans="1:2" x14ac:dyDescent="0.3">
      <c r="A3" t="s">
        <v>181</v>
      </c>
      <c r="B3">
        <v>2023</v>
      </c>
    </row>
    <row r="4" spans="1:2" x14ac:dyDescent="0.3">
      <c r="A4" t="s">
        <v>182</v>
      </c>
      <c r="B4" t="s">
        <v>3</v>
      </c>
    </row>
    <row r="5" spans="1:2" x14ac:dyDescent="0.3">
      <c r="A5" t="s">
        <v>183</v>
      </c>
      <c r="B5" t="s">
        <v>37</v>
      </c>
    </row>
    <row r="6" spans="1:2" x14ac:dyDescent="0.3">
      <c r="A6" t="s">
        <v>184</v>
      </c>
      <c r="B6" s="64">
        <v>571506</v>
      </c>
    </row>
    <row r="7" spans="1:2" x14ac:dyDescent="0.3">
      <c r="A7" t="s">
        <v>185</v>
      </c>
      <c r="B7" t="s">
        <v>70</v>
      </c>
    </row>
    <row r="8" spans="1:2" x14ac:dyDescent="0.3">
      <c r="A8" t="s">
        <v>186</v>
      </c>
      <c r="B8"/>
    </row>
    <row r="9" spans="1:2" x14ac:dyDescent="0.3">
      <c r="A9" t="s">
        <v>187</v>
      </c>
      <c r="B9" s="64">
        <v>7944.52</v>
      </c>
    </row>
    <row r="10" spans="1:2" x14ac:dyDescent="0.3">
      <c r="A10" t="s">
        <v>188</v>
      </c>
      <c r="B10" s="64">
        <v>579450.52</v>
      </c>
    </row>
    <row r="11" spans="1:2" x14ac:dyDescent="0.3">
      <c r="A11" t="s">
        <v>189</v>
      </c>
      <c r="B11" s="64">
        <v>289725.26</v>
      </c>
    </row>
    <row r="12" spans="1:2" x14ac:dyDescent="0.3">
      <c r="A12" t="s">
        <v>190</v>
      </c>
      <c r="B12" s="64">
        <v>45776.59</v>
      </c>
    </row>
    <row r="21" spans="10:10" x14ac:dyDescent="0.3">
      <c r="J2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1"/>
  <sheetViews>
    <sheetView topLeftCell="A19" workbookViewId="0">
      <selection activeCell="A28" sqref="A28"/>
    </sheetView>
  </sheetViews>
  <sheetFormatPr defaultColWidth="14.44140625" defaultRowHeight="15" customHeight="1" x14ac:dyDescent="0.3"/>
  <cols>
    <col min="1" max="1" width="54.44140625" bestFit="1" customWidth="1"/>
    <col min="2" max="3" width="14.33203125" style="3" bestFit="1" customWidth="1"/>
    <col min="4" max="4" width="19.44140625" customWidth="1"/>
  </cols>
  <sheetData>
    <row r="1" spans="1:4" ht="15" customHeight="1" x14ac:dyDescent="0.3">
      <c r="A1" t="s">
        <v>28</v>
      </c>
      <c r="D1" t="s">
        <v>29</v>
      </c>
    </row>
    <row r="2" spans="1:4" ht="15" customHeight="1" x14ac:dyDescent="0.3">
      <c r="A2" t="s">
        <v>30</v>
      </c>
    </row>
    <row r="3" spans="1:4" ht="15" customHeight="1" x14ac:dyDescent="0.3">
      <c r="A3" t="s">
        <v>31</v>
      </c>
    </row>
    <row r="5" spans="1:4" ht="15" customHeight="1" x14ac:dyDescent="0.3">
      <c r="B5" s="3" t="s">
        <v>87</v>
      </c>
    </row>
    <row r="6" spans="1:4" ht="15" customHeight="1" x14ac:dyDescent="0.3">
      <c r="A6" t="s">
        <v>34</v>
      </c>
      <c r="D6" t="s">
        <v>34</v>
      </c>
    </row>
    <row r="7" spans="1:4" ht="15" customHeight="1" x14ac:dyDescent="0.3">
      <c r="A7" t="s">
        <v>103</v>
      </c>
      <c r="B7" s="3">
        <v>96000</v>
      </c>
      <c r="D7" t="s">
        <v>34</v>
      </c>
    </row>
    <row r="8" spans="1:4" ht="15" customHeight="1" x14ac:dyDescent="0.3">
      <c r="A8" t="s">
        <v>104</v>
      </c>
      <c r="B8" s="56">
        <v>96000</v>
      </c>
    </row>
    <row r="9" spans="1:4" ht="15" customHeight="1" x14ac:dyDescent="0.3">
      <c r="A9" t="s">
        <v>105</v>
      </c>
    </row>
    <row r="10" spans="1:4" ht="15" customHeight="1" x14ac:dyDescent="0.3">
      <c r="A10" t="s">
        <v>35</v>
      </c>
      <c r="B10" s="3">
        <v>38863.83</v>
      </c>
    </row>
    <row r="11" spans="1:4" ht="15" customHeight="1" x14ac:dyDescent="0.3">
      <c r="A11" t="s">
        <v>106</v>
      </c>
      <c r="B11" s="56">
        <v>38863.83</v>
      </c>
    </row>
    <row r="12" spans="1:4" ht="15" customHeight="1" x14ac:dyDescent="0.3">
      <c r="A12" t="s">
        <v>107</v>
      </c>
      <c r="B12" s="56">
        <v>57136.17</v>
      </c>
    </row>
    <row r="13" spans="1:4" ht="15" customHeight="1" x14ac:dyDescent="0.3">
      <c r="A13" t="s">
        <v>108</v>
      </c>
    </row>
    <row r="14" spans="1:4" ht="15" customHeight="1" x14ac:dyDescent="0.3">
      <c r="A14" t="s">
        <v>109</v>
      </c>
      <c r="B14" s="3">
        <v>82790</v>
      </c>
    </row>
    <row r="15" spans="1:4" ht="15" customHeight="1" x14ac:dyDescent="0.3">
      <c r="A15" t="s">
        <v>110</v>
      </c>
      <c r="B15" s="3">
        <v>1741</v>
      </c>
    </row>
    <row r="16" spans="1:4" ht="15" customHeight="1" x14ac:dyDescent="0.3">
      <c r="A16" t="s">
        <v>111</v>
      </c>
    </row>
    <row r="17" spans="1:4" ht="15" customHeight="1" x14ac:dyDescent="0.3">
      <c r="A17" t="s">
        <v>112</v>
      </c>
      <c r="B17" s="3">
        <v>45002.400000000001</v>
      </c>
      <c r="D17" t="s">
        <v>32</v>
      </c>
    </row>
    <row r="18" spans="1:4" ht="15" customHeight="1" x14ac:dyDescent="0.3">
      <c r="A18" t="s">
        <v>113</v>
      </c>
      <c r="B18" s="3">
        <v>8270</v>
      </c>
    </row>
    <row r="19" spans="1:4" ht="15" customHeight="1" x14ac:dyDescent="0.3">
      <c r="A19" t="s">
        <v>114</v>
      </c>
      <c r="B19" s="3">
        <v>100824.97</v>
      </c>
    </row>
    <row r="20" spans="1:4" ht="15" customHeight="1" x14ac:dyDescent="0.3">
      <c r="A20" t="s">
        <v>115</v>
      </c>
    </row>
    <row r="21" spans="1:4" ht="15" customHeight="1" x14ac:dyDescent="0.3">
      <c r="A21" t="s">
        <v>116</v>
      </c>
      <c r="B21" s="57">
        <v>7944</v>
      </c>
      <c r="D21" t="s">
        <v>8</v>
      </c>
    </row>
    <row r="22" spans="1:4" ht="15" customHeight="1" x14ac:dyDescent="0.3">
      <c r="A22" t="s">
        <v>117</v>
      </c>
    </row>
    <row r="23" spans="1:4" ht="15" customHeight="1" x14ac:dyDescent="0.3">
      <c r="A23" t="s">
        <v>118</v>
      </c>
      <c r="B23" s="3">
        <v>1236526.83</v>
      </c>
    </row>
    <row r="24" spans="1:4" ht="15" customHeight="1" x14ac:dyDescent="0.3">
      <c r="A24" t="s">
        <v>119</v>
      </c>
      <c r="B24" s="56">
        <v>1236526.83</v>
      </c>
    </row>
    <row r="25" spans="1:4" ht="15" customHeight="1" x14ac:dyDescent="0.3">
      <c r="A25" t="s">
        <v>120</v>
      </c>
      <c r="B25" s="3">
        <v>3550.55</v>
      </c>
    </row>
    <row r="26" spans="1:4" ht="15" customHeight="1" x14ac:dyDescent="0.3">
      <c r="A26" t="s">
        <v>121</v>
      </c>
      <c r="B26" s="3">
        <v>291727.65000000002</v>
      </c>
    </row>
    <row r="27" spans="1:4" ht="15" customHeight="1" x14ac:dyDescent="0.3">
      <c r="A27" t="s">
        <v>122</v>
      </c>
      <c r="B27" s="57">
        <v>571506.03</v>
      </c>
      <c r="D27" t="s">
        <v>6</v>
      </c>
    </row>
    <row r="28" spans="1:4" ht="15" customHeight="1" x14ac:dyDescent="0.3">
      <c r="A28" t="s">
        <v>123</v>
      </c>
      <c r="B28" s="3">
        <v>1765.88</v>
      </c>
    </row>
    <row r="29" spans="1:4" ht="15" customHeight="1" x14ac:dyDescent="0.3">
      <c r="A29" t="s">
        <v>124</v>
      </c>
      <c r="B29" s="3">
        <v>254.87</v>
      </c>
    </row>
    <row r="30" spans="1:4" ht="15" customHeight="1" x14ac:dyDescent="0.3">
      <c r="A30" t="s">
        <v>125</v>
      </c>
      <c r="B30" s="3">
        <v>1421676.66</v>
      </c>
    </row>
    <row r="31" spans="1:4" ht="15" customHeight="1" x14ac:dyDescent="0.3">
      <c r="A31" t="s">
        <v>126</v>
      </c>
      <c r="B31" s="56">
        <v>3201587.3</v>
      </c>
    </row>
    <row r="32" spans="1:4" ht="15" customHeight="1" x14ac:dyDescent="0.3">
      <c r="A32" t="s">
        <v>127</v>
      </c>
    </row>
    <row r="33" spans="1:4" ht="15" customHeight="1" x14ac:dyDescent="0.3">
      <c r="A33" t="s">
        <v>128</v>
      </c>
      <c r="B33" s="3">
        <v>141351.28</v>
      </c>
    </row>
    <row r="34" spans="1:4" ht="15" customHeight="1" x14ac:dyDescent="0.3">
      <c r="A34" t="s">
        <v>129</v>
      </c>
      <c r="B34" s="56">
        <v>141351.28</v>
      </c>
    </row>
    <row r="35" spans="1:4" ht="15" customHeight="1" x14ac:dyDescent="0.3">
      <c r="A35" t="s">
        <v>130</v>
      </c>
      <c r="B35" s="3">
        <v>800</v>
      </c>
    </row>
    <row r="36" spans="1:4" ht="15" customHeight="1" x14ac:dyDescent="0.3">
      <c r="A36" t="s">
        <v>131</v>
      </c>
    </row>
    <row r="37" spans="1:4" ht="15" customHeight="1" x14ac:dyDescent="0.3">
      <c r="A37" t="s">
        <v>132</v>
      </c>
      <c r="B37" s="3">
        <v>52.17</v>
      </c>
    </row>
    <row r="38" spans="1:4" ht="15" customHeight="1" x14ac:dyDescent="0.3">
      <c r="A38" t="s">
        <v>133</v>
      </c>
      <c r="B38" s="3">
        <v>2047.14</v>
      </c>
    </row>
    <row r="39" spans="1:4" ht="15" customHeight="1" x14ac:dyDescent="0.3">
      <c r="A39" t="s">
        <v>134</v>
      </c>
      <c r="B39" s="3">
        <v>3918.74</v>
      </c>
    </row>
    <row r="40" spans="1:4" ht="15" customHeight="1" x14ac:dyDescent="0.3">
      <c r="A40" t="s">
        <v>135</v>
      </c>
      <c r="B40" s="3">
        <v>199356.21</v>
      </c>
    </row>
    <row r="41" spans="1:4" ht="15" customHeight="1" x14ac:dyDescent="0.3">
      <c r="A41" t="s">
        <v>136</v>
      </c>
      <c r="B41" s="3">
        <v>449541.29</v>
      </c>
    </row>
    <row r="42" spans="1:4" ht="15" customHeight="1" x14ac:dyDescent="0.3">
      <c r="A42" t="s">
        <v>137</v>
      </c>
      <c r="B42" s="3">
        <v>550.89</v>
      </c>
    </row>
    <row r="43" spans="1:4" ht="15" customHeight="1" x14ac:dyDescent="0.3">
      <c r="A43" t="s">
        <v>138</v>
      </c>
      <c r="B43" s="56">
        <v>655466.43999999994</v>
      </c>
    </row>
    <row r="44" spans="1:4" ht="15" customHeight="1" x14ac:dyDescent="0.3">
      <c r="A44" t="s">
        <v>139</v>
      </c>
      <c r="B44" s="3">
        <v>43930.04</v>
      </c>
    </row>
    <row r="45" spans="1:4" ht="15" customHeight="1" x14ac:dyDescent="0.3">
      <c r="A45" t="s">
        <v>140</v>
      </c>
      <c r="D45" t="s">
        <v>32</v>
      </c>
    </row>
    <row r="46" spans="1:4" ht="15" customHeight="1" x14ac:dyDescent="0.3">
      <c r="A46" t="s">
        <v>141</v>
      </c>
      <c r="B46" s="3">
        <v>5134.9799999999996</v>
      </c>
      <c r="D46" t="s">
        <v>34</v>
      </c>
    </row>
    <row r="47" spans="1:4" ht="15" customHeight="1" x14ac:dyDescent="0.3">
      <c r="A47" t="s">
        <v>142</v>
      </c>
      <c r="B47" s="3">
        <v>219781.86</v>
      </c>
      <c r="D47" t="s">
        <v>32</v>
      </c>
    </row>
    <row r="48" spans="1:4" ht="15" customHeight="1" x14ac:dyDescent="0.3">
      <c r="A48" t="s">
        <v>143</v>
      </c>
      <c r="B48" s="3">
        <v>3189.25</v>
      </c>
      <c r="D48" t="s">
        <v>32</v>
      </c>
    </row>
    <row r="49" spans="1:4" ht="15" customHeight="1" x14ac:dyDescent="0.3">
      <c r="A49" t="s">
        <v>144</v>
      </c>
      <c r="B49" s="56">
        <v>228106.09</v>
      </c>
      <c r="D49" t="s">
        <v>32</v>
      </c>
    </row>
    <row r="50" spans="1:4" ht="15" customHeight="1" x14ac:dyDescent="0.3">
      <c r="A50" t="s">
        <v>145</v>
      </c>
      <c r="B50" s="3">
        <v>277</v>
      </c>
      <c r="D50" t="s">
        <v>32</v>
      </c>
    </row>
    <row r="51" spans="1:4" ht="15" customHeight="1" x14ac:dyDescent="0.3">
      <c r="A51" t="s">
        <v>146</v>
      </c>
      <c r="B51" s="3">
        <v>2623.26</v>
      </c>
      <c r="D51" t="s">
        <v>32</v>
      </c>
    </row>
    <row r="52" spans="1:4" ht="15" customHeight="1" x14ac:dyDescent="0.3">
      <c r="A52" t="s">
        <v>147</v>
      </c>
      <c r="B52" s="3">
        <v>6542.1</v>
      </c>
      <c r="D52" t="s">
        <v>34</v>
      </c>
    </row>
    <row r="53" spans="1:4" ht="15" customHeight="1" x14ac:dyDescent="0.3">
      <c r="A53" t="s">
        <v>148</v>
      </c>
      <c r="B53" s="3">
        <v>12196.84</v>
      </c>
      <c r="D53" t="s">
        <v>32</v>
      </c>
    </row>
    <row r="54" spans="1:4" ht="15" customHeight="1" x14ac:dyDescent="0.3">
      <c r="A54" t="s">
        <v>149</v>
      </c>
      <c r="B54" s="56">
        <v>21362.2</v>
      </c>
      <c r="D54" t="s">
        <v>32</v>
      </c>
    </row>
    <row r="55" spans="1:4" ht="15" customHeight="1" x14ac:dyDescent="0.3">
      <c r="A55" t="s">
        <v>150</v>
      </c>
      <c r="D55" t="s">
        <v>32</v>
      </c>
    </row>
    <row r="56" spans="1:4" ht="15" customHeight="1" x14ac:dyDescent="0.3">
      <c r="A56" t="s">
        <v>151</v>
      </c>
      <c r="B56" s="3">
        <v>64166.69</v>
      </c>
      <c r="D56" t="s">
        <v>32</v>
      </c>
    </row>
    <row r="57" spans="1:4" ht="15" customHeight="1" x14ac:dyDescent="0.3">
      <c r="A57" t="s">
        <v>152</v>
      </c>
      <c r="B57" s="3">
        <v>43598</v>
      </c>
      <c r="D57" t="s">
        <v>32</v>
      </c>
    </row>
    <row r="58" spans="1:4" ht="15" customHeight="1" x14ac:dyDescent="0.3">
      <c r="A58" t="s">
        <v>84</v>
      </c>
      <c r="B58" s="3">
        <v>14786.01</v>
      </c>
      <c r="D58" t="s">
        <v>32</v>
      </c>
    </row>
    <row r="59" spans="1:4" ht="15" customHeight="1" x14ac:dyDescent="0.3">
      <c r="A59" t="s">
        <v>153</v>
      </c>
      <c r="B59" s="3">
        <v>200923.73</v>
      </c>
      <c r="D59" t="s">
        <v>32</v>
      </c>
    </row>
    <row r="60" spans="1:4" ht="15" customHeight="1" x14ac:dyDescent="0.3">
      <c r="A60" t="s">
        <v>154</v>
      </c>
      <c r="B60" s="56">
        <v>323474.43</v>
      </c>
      <c r="D60" t="s">
        <v>32</v>
      </c>
    </row>
    <row r="61" spans="1:4" ht="15" customHeight="1" x14ac:dyDescent="0.3">
      <c r="A61" t="s">
        <v>155</v>
      </c>
      <c r="B61" s="3">
        <v>1491.6</v>
      </c>
      <c r="D61" t="s">
        <v>32</v>
      </c>
    </row>
    <row r="62" spans="1:4" ht="15" customHeight="1" x14ac:dyDescent="0.3">
      <c r="A62" t="s">
        <v>156</v>
      </c>
      <c r="B62" s="3">
        <v>819.18</v>
      </c>
      <c r="D62" t="s">
        <v>32</v>
      </c>
    </row>
    <row r="63" spans="1:4" ht="15" customHeight="1" x14ac:dyDescent="0.3">
      <c r="A63" t="s">
        <v>157</v>
      </c>
      <c r="B63" s="3">
        <v>700</v>
      </c>
      <c r="D63" t="s">
        <v>32</v>
      </c>
    </row>
    <row r="64" spans="1:4" ht="15" customHeight="1" x14ac:dyDescent="0.3">
      <c r="A64" t="s">
        <v>158</v>
      </c>
      <c r="B64" s="3">
        <v>1243.17</v>
      </c>
      <c r="D64" t="s">
        <v>32</v>
      </c>
    </row>
    <row r="65" spans="1:4" ht="15" customHeight="1" x14ac:dyDescent="0.3">
      <c r="A65" t="s">
        <v>159</v>
      </c>
      <c r="B65" s="3">
        <v>280463.15999999997</v>
      </c>
      <c r="D65" t="s">
        <v>32</v>
      </c>
    </row>
    <row r="66" spans="1:4" ht="15" customHeight="1" x14ac:dyDescent="0.3">
      <c r="A66" t="s">
        <v>160</v>
      </c>
      <c r="B66" s="3">
        <v>109962.94</v>
      </c>
      <c r="D66" t="s">
        <v>32</v>
      </c>
    </row>
    <row r="67" spans="1:4" ht="15" customHeight="1" x14ac:dyDescent="0.3">
      <c r="A67" t="s">
        <v>161</v>
      </c>
      <c r="B67" s="3">
        <v>7130.38</v>
      </c>
      <c r="D67" t="s">
        <v>32</v>
      </c>
    </row>
    <row r="68" spans="1:4" ht="15" customHeight="1" x14ac:dyDescent="0.3">
      <c r="A68" t="s">
        <v>33</v>
      </c>
      <c r="B68" s="3">
        <v>60</v>
      </c>
      <c r="D68" t="s">
        <v>32</v>
      </c>
    </row>
    <row r="69" spans="1:4" ht="15" customHeight="1" x14ac:dyDescent="0.3">
      <c r="A69" t="s">
        <v>162</v>
      </c>
      <c r="B69" s="56">
        <v>400378.83</v>
      </c>
      <c r="D69" t="s">
        <v>8</v>
      </c>
    </row>
    <row r="70" spans="1:4" ht="15" customHeight="1" x14ac:dyDescent="0.3">
      <c r="A70" t="s">
        <v>163</v>
      </c>
      <c r="B70" s="3">
        <v>28012.29</v>
      </c>
      <c r="D70" t="s">
        <v>32</v>
      </c>
    </row>
    <row r="71" spans="1:4" ht="15" customHeight="1" x14ac:dyDescent="0.3">
      <c r="A71" t="s">
        <v>164</v>
      </c>
      <c r="B71" s="3">
        <v>38183.26</v>
      </c>
      <c r="D71" t="s">
        <v>32</v>
      </c>
    </row>
    <row r="72" spans="1:4" ht="15" customHeight="1" x14ac:dyDescent="0.3">
      <c r="A72" t="s">
        <v>165</v>
      </c>
      <c r="B72" s="3">
        <v>25719.02</v>
      </c>
      <c r="D72" t="s">
        <v>32</v>
      </c>
    </row>
    <row r="73" spans="1:4" ht="15" customHeight="1" x14ac:dyDescent="0.3">
      <c r="A73" t="s">
        <v>166</v>
      </c>
      <c r="B73" s="3">
        <v>47240.71</v>
      </c>
      <c r="D73" t="s">
        <v>32</v>
      </c>
    </row>
    <row r="74" spans="1:4" ht="15" customHeight="1" x14ac:dyDescent="0.3">
      <c r="A74" t="s">
        <v>167</v>
      </c>
      <c r="B74" s="56">
        <v>139155.28</v>
      </c>
      <c r="D74" t="s">
        <v>32</v>
      </c>
    </row>
    <row r="75" spans="1:4" ht="15" customHeight="1" x14ac:dyDescent="0.3">
      <c r="A75" t="s">
        <v>168</v>
      </c>
      <c r="B75" s="3">
        <v>0</v>
      </c>
      <c r="D75" t="s">
        <v>32</v>
      </c>
    </row>
    <row r="76" spans="1:4" ht="15" customHeight="1" x14ac:dyDescent="0.3">
      <c r="A76" t="s">
        <v>169</v>
      </c>
      <c r="B76" s="56">
        <v>5241911.49</v>
      </c>
      <c r="D76" t="s">
        <v>32</v>
      </c>
    </row>
    <row r="77" spans="1:4" ht="15" customHeight="1" x14ac:dyDescent="0.3">
      <c r="A77" t="s">
        <v>170</v>
      </c>
      <c r="B77" s="56">
        <v>-5184775.32</v>
      </c>
      <c r="D77" t="s">
        <v>32</v>
      </c>
    </row>
    <row r="78" spans="1:4" ht="15" customHeight="1" x14ac:dyDescent="0.3">
      <c r="A78" t="s">
        <v>171</v>
      </c>
      <c r="D78" t="s">
        <v>32</v>
      </c>
    </row>
    <row r="79" spans="1:4" ht="15" customHeight="1" x14ac:dyDescent="0.3">
      <c r="A79" t="s">
        <v>172</v>
      </c>
      <c r="B79" s="3">
        <v>25</v>
      </c>
      <c r="D79" t="s">
        <v>32</v>
      </c>
    </row>
    <row r="80" spans="1:4" ht="15" customHeight="1" x14ac:dyDescent="0.3">
      <c r="A80" t="s">
        <v>173</v>
      </c>
      <c r="B80" s="3">
        <v>67.64</v>
      </c>
      <c r="D80" t="s">
        <v>32</v>
      </c>
    </row>
    <row r="81" spans="1:4" ht="15" customHeight="1" x14ac:dyDescent="0.3">
      <c r="A81" t="s">
        <v>174</v>
      </c>
      <c r="B81" s="3">
        <v>0</v>
      </c>
      <c r="D81" t="s">
        <v>32</v>
      </c>
    </row>
    <row r="82" spans="1:4" ht="15" customHeight="1" x14ac:dyDescent="0.3">
      <c r="A82" t="s">
        <v>175</v>
      </c>
      <c r="B82" s="56">
        <v>92.64</v>
      </c>
      <c r="D82" t="s">
        <v>32</v>
      </c>
    </row>
    <row r="83" spans="1:4" ht="15" customHeight="1" x14ac:dyDescent="0.3">
      <c r="A83" t="s">
        <v>176</v>
      </c>
      <c r="B83" s="56">
        <v>-92.64</v>
      </c>
      <c r="D83" t="s">
        <v>34</v>
      </c>
    </row>
    <row r="84" spans="1:4" ht="15" customHeight="1" x14ac:dyDescent="0.3">
      <c r="A84" t="s">
        <v>177</v>
      </c>
      <c r="B84" s="56">
        <v>-5184867.96</v>
      </c>
      <c r="D84" t="s">
        <v>34</v>
      </c>
    </row>
    <row r="85" spans="1:4" ht="15" customHeight="1" x14ac:dyDescent="0.3">
      <c r="B85" s="56">
        <v>6542.1</v>
      </c>
      <c r="D85" t="s">
        <v>34</v>
      </c>
    </row>
    <row r="86" spans="1:4" ht="15" customHeight="1" x14ac:dyDescent="0.3">
      <c r="B86" s="56">
        <v>7410.05</v>
      </c>
      <c r="D86" t="s">
        <v>32</v>
      </c>
    </row>
    <row r="87" spans="1:4" ht="15" customHeight="1" x14ac:dyDescent="0.3">
      <c r="B87" s="56">
        <v>-5170915.8099999996</v>
      </c>
    </row>
    <row r="91" spans="1:4" ht="15" customHeight="1" x14ac:dyDescent="0.3">
      <c r="A91" t="s">
        <v>36</v>
      </c>
    </row>
  </sheetData>
  <dataValidations count="2">
    <dataValidation type="list" allowBlank="1" showInputMessage="1" showErrorMessage="1" sqref="D2:D60 D62:D87" xr:uid="{F9CF8668-60F0-4CA2-837F-B017A6A1A62C}">
      <formula1>"qre_wages, qre_supplies, qre_contract_research, Income, Non R&amp;D Expenses"</formula1>
    </dataValidation>
    <dataValidation type="list" allowBlank="1" showInputMessage="1" showErrorMessage="1" sqref="D61" xr:uid="{CF723208-6D8C-446B-966E-E3B96AC3CCF8}">
      <formula1>"qre_wages, qre_supplies, qre_contract_research, Income, Non R&amp;D Expenses, qrd_forein"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E960A-0078-4632-AFC8-709B8EECB3B1}">
  <dimension ref="A1:B12"/>
  <sheetViews>
    <sheetView workbookViewId="0">
      <selection activeCell="B5" sqref="B5"/>
    </sheetView>
  </sheetViews>
  <sheetFormatPr defaultRowHeight="14.4" x14ac:dyDescent="0.3"/>
  <cols>
    <col min="1" max="1" width="73.33203125" customWidth="1"/>
    <col min="2" max="2" width="23.5546875" style="8" bestFit="1" customWidth="1"/>
  </cols>
  <sheetData>
    <row r="1" spans="1:2" x14ac:dyDescent="0.3">
      <c r="A1" s="18" t="s">
        <v>39</v>
      </c>
      <c r="B1" s="19">
        <v>1120</v>
      </c>
    </row>
    <row r="2" spans="1:2" x14ac:dyDescent="0.3">
      <c r="A2" s="18" t="s">
        <v>40</v>
      </c>
      <c r="B2" s="19">
        <v>2020</v>
      </c>
    </row>
    <row r="3" spans="1:2" x14ac:dyDescent="0.3">
      <c r="A3" s="18" t="s">
        <v>41</v>
      </c>
      <c r="B3" s="19">
        <v>2020</v>
      </c>
    </row>
    <row r="4" spans="1:2" ht="28.8" x14ac:dyDescent="0.3">
      <c r="A4" s="18" t="s">
        <v>42</v>
      </c>
      <c r="B4" s="19">
        <v>2022</v>
      </c>
    </row>
    <row r="5" spans="1:2" ht="28.8" x14ac:dyDescent="0.3">
      <c r="A5" s="18" t="s">
        <v>43</v>
      </c>
      <c r="B5" s="20" t="s">
        <v>83</v>
      </c>
    </row>
    <row r="6" spans="1:2" x14ac:dyDescent="0.3">
      <c r="A6" s="18" t="s">
        <v>44</v>
      </c>
      <c r="B6" s="19" t="s">
        <v>37</v>
      </c>
    </row>
    <row r="7" spans="1:2" ht="28.8" x14ac:dyDescent="0.3">
      <c r="A7" s="18" t="s">
        <v>45</v>
      </c>
      <c r="B7" s="19" t="s">
        <v>37</v>
      </c>
    </row>
    <row r="8" spans="1:2" x14ac:dyDescent="0.3">
      <c r="A8" s="18" t="s">
        <v>46</v>
      </c>
      <c r="B8" s="19" t="s">
        <v>38</v>
      </c>
    </row>
    <row r="9" spans="1:2" x14ac:dyDescent="0.3">
      <c r="A9" s="18" t="s">
        <v>47</v>
      </c>
      <c r="B9" s="19" t="s">
        <v>38</v>
      </c>
    </row>
    <row r="10" spans="1:2" x14ac:dyDescent="0.3">
      <c r="A10" s="18" t="s">
        <v>48</v>
      </c>
      <c r="B10" s="19" t="s">
        <v>37</v>
      </c>
    </row>
    <row r="11" spans="1:2" x14ac:dyDescent="0.3">
      <c r="A11" s="18" t="s">
        <v>49</v>
      </c>
      <c r="B11" s="19" t="s">
        <v>38</v>
      </c>
    </row>
    <row r="12" spans="1:2" x14ac:dyDescent="0.3">
      <c r="A12" s="18" t="s">
        <v>50</v>
      </c>
      <c r="B12" s="21">
        <v>46296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074B-DB85-4034-8C93-ECDAF0743B88}">
  <dimension ref="A1:B11"/>
  <sheetViews>
    <sheetView workbookViewId="0">
      <selection activeCell="D22" sqref="D22"/>
    </sheetView>
  </sheetViews>
  <sheetFormatPr defaultRowHeight="14.4" x14ac:dyDescent="0.3"/>
  <cols>
    <col min="1" max="1" width="49.5546875" customWidth="1"/>
    <col min="2" max="2" width="43.109375" customWidth="1"/>
  </cols>
  <sheetData>
    <row r="1" spans="1:2" ht="28.8" x14ac:dyDescent="0.3">
      <c r="A1" s="12" t="s">
        <v>11</v>
      </c>
      <c r="B1" s="20" t="s">
        <v>83</v>
      </c>
    </row>
    <row r="2" spans="1:2" x14ac:dyDescent="0.3">
      <c r="A2" s="12" t="s">
        <v>51</v>
      </c>
      <c r="B2" s="18" t="s">
        <v>52</v>
      </c>
    </row>
    <row r="3" spans="1:2" x14ac:dyDescent="0.3">
      <c r="A3" s="12" t="s">
        <v>53</v>
      </c>
      <c r="B3" s="18" t="s">
        <v>37</v>
      </c>
    </row>
    <row r="4" spans="1:2" x14ac:dyDescent="0.3">
      <c r="A4" s="12" t="s">
        <v>54</v>
      </c>
      <c r="B4" s="18" t="s">
        <v>37</v>
      </c>
    </row>
    <row r="5" spans="1:2" ht="28.8" x14ac:dyDescent="0.3">
      <c r="A5" s="12" t="s">
        <v>55</v>
      </c>
      <c r="B5" s="18" t="s">
        <v>37</v>
      </c>
    </row>
    <row r="6" spans="1:2" ht="28.8" x14ac:dyDescent="0.3">
      <c r="A6" s="12" t="s">
        <v>56</v>
      </c>
      <c r="B6" s="18" t="s">
        <v>37</v>
      </c>
    </row>
    <row r="7" spans="1:2" ht="43.2" x14ac:dyDescent="0.3">
      <c r="A7" s="12" t="s">
        <v>57</v>
      </c>
      <c r="B7" s="18" t="s">
        <v>37</v>
      </c>
    </row>
    <row r="8" spans="1:2" x14ac:dyDescent="0.3">
      <c r="A8" s="13" t="s">
        <v>13</v>
      </c>
      <c r="B8" s="16"/>
    </row>
    <row r="9" spans="1:2" x14ac:dyDescent="0.3">
      <c r="A9" s="13" t="s">
        <v>14</v>
      </c>
      <c r="B9" s="16"/>
    </row>
    <row r="10" spans="1:2" x14ac:dyDescent="0.3">
      <c r="A10" s="13" t="s">
        <v>12</v>
      </c>
      <c r="B10" s="16"/>
    </row>
    <row r="11" spans="1:2" x14ac:dyDescent="0.3">
      <c r="A11" s="12" t="s">
        <v>58</v>
      </c>
      <c r="B11" s="1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4BF97-C51E-4AF4-89E3-0C2CA1E92BDA}">
  <dimension ref="A1:H22"/>
  <sheetViews>
    <sheetView tabSelected="1" workbookViewId="0">
      <selection activeCell="E12" sqref="E12"/>
    </sheetView>
  </sheetViews>
  <sheetFormatPr defaultRowHeight="14.4" x14ac:dyDescent="0.3"/>
  <cols>
    <col min="1" max="1" width="22.77734375" bestFit="1" customWidth="1"/>
    <col min="2" max="2" width="19.44140625" bestFit="1" customWidth="1"/>
    <col min="3" max="3" width="5.33203125" bestFit="1" customWidth="1"/>
    <col min="4" max="4" width="12.6640625" bestFit="1" customWidth="1"/>
    <col min="5" max="5" width="10.44140625" style="24" bestFit="1" customWidth="1"/>
    <col min="6" max="6" width="12.5546875" style="3" bestFit="1" customWidth="1"/>
    <col min="7" max="7" width="19.33203125" bestFit="1" customWidth="1"/>
    <col min="8" max="8" width="12.44140625" style="3" customWidth="1"/>
  </cols>
  <sheetData>
    <row r="1" spans="1:8" s="25" customFormat="1" ht="29.4" thickBot="1" x14ac:dyDescent="0.35">
      <c r="A1" s="11" t="s">
        <v>15</v>
      </c>
      <c r="B1" s="11" t="s">
        <v>60</v>
      </c>
      <c r="C1" s="65" t="s">
        <v>61</v>
      </c>
      <c r="D1" s="12" t="s">
        <v>78</v>
      </c>
      <c r="E1" s="66" t="s">
        <v>62</v>
      </c>
      <c r="F1" s="67" t="s">
        <v>85</v>
      </c>
      <c r="G1" s="17" t="s">
        <v>86</v>
      </c>
      <c r="H1" s="27">
        <f>SUM(F:F)</f>
        <v>2172868.8949999996</v>
      </c>
    </row>
    <row r="2" spans="1:8" ht="15" thickBot="1" x14ac:dyDescent="0.35">
      <c r="A2" s="82" t="s">
        <v>205</v>
      </c>
      <c r="B2" s="83" t="s">
        <v>216</v>
      </c>
      <c r="C2" s="68"/>
      <c r="D2" s="84">
        <v>85750.07</v>
      </c>
      <c r="E2" s="85">
        <v>1</v>
      </c>
      <c r="F2" s="69">
        <f>D2*E2</f>
        <v>85750.07</v>
      </c>
    </row>
    <row r="3" spans="1:8" ht="15" thickBot="1" x14ac:dyDescent="0.35">
      <c r="A3" s="82" t="s">
        <v>206</v>
      </c>
      <c r="B3" s="83" t="s">
        <v>217</v>
      </c>
      <c r="C3" s="68"/>
      <c r="D3" s="84">
        <v>173280.82</v>
      </c>
      <c r="E3" s="85">
        <v>1</v>
      </c>
      <c r="F3" s="69">
        <f t="shared" ref="F3:F12" si="0">D3*E3</f>
        <v>173280.82</v>
      </c>
    </row>
    <row r="4" spans="1:8" ht="15" thickBot="1" x14ac:dyDescent="0.35">
      <c r="A4" s="82" t="s">
        <v>207</v>
      </c>
      <c r="B4" s="83" t="s">
        <v>218</v>
      </c>
      <c r="C4" s="68"/>
      <c r="D4" s="84">
        <v>699619.93</v>
      </c>
      <c r="E4" s="85">
        <v>0.5</v>
      </c>
      <c r="F4" s="69">
        <f t="shared" si="0"/>
        <v>349809.96500000003</v>
      </c>
    </row>
    <row r="5" spans="1:8" ht="15" thickBot="1" x14ac:dyDescent="0.35">
      <c r="A5" s="82" t="s">
        <v>208</v>
      </c>
      <c r="B5" s="83" t="s">
        <v>219</v>
      </c>
      <c r="C5" s="68"/>
      <c r="D5" s="84">
        <v>387769.18</v>
      </c>
      <c r="E5" s="85">
        <v>1</v>
      </c>
      <c r="F5" s="69">
        <f t="shared" si="0"/>
        <v>387769.18</v>
      </c>
    </row>
    <row r="6" spans="1:8" ht="15" thickBot="1" x14ac:dyDescent="0.35">
      <c r="A6" s="82" t="s">
        <v>209</v>
      </c>
      <c r="B6" s="83" t="s">
        <v>216</v>
      </c>
      <c r="C6" s="68"/>
      <c r="D6" s="84">
        <v>199284.19</v>
      </c>
      <c r="E6" s="85">
        <v>1</v>
      </c>
      <c r="F6" s="69">
        <f t="shared" si="0"/>
        <v>199284.19</v>
      </c>
    </row>
    <row r="7" spans="1:8" ht="15" thickBot="1" x14ac:dyDescent="0.35">
      <c r="A7" s="82" t="s">
        <v>210</v>
      </c>
      <c r="B7" s="83" t="s">
        <v>220</v>
      </c>
      <c r="C7" s="68"/>
      <c r="D7" s="84">
        <v>226622.21</v>
      </c>
      <c r="E7" s="85">
        <v>1</v>
      </c>
      <c r="F7" s="69">
        <f t="shared" si="0"/>
        <v>226622.21</v>
      </c>
    </row>
    <row r="8" spans="1:8" ht="15" thickBot="1" x14ac:dyDescent="0.35">
      <c r="A8" s="82" t="s">
        <v>211</v>
      </c>
      <c r="B8" s="83" t="s">
        <v>216</v>
      </c>
      <c r="C8" s="26"/>
      <c r="D8" s="84">
        <v>167462.14000000001</v>
      </c>
      <c r="E8" s="23">
        <v>1</v>
      </c>
      <c r="F8" s="69">
        <f t="shared" si="0"/>
        <v>167462.14000000001</v>
      </c>
    </row>
    <row r="9" spans="1:8" ht="15" thickBot="1" x14ac:dyDescent="0.35">
      <c r="A9" s="82" t="s">
        <v>212</v>
      </c>
      <c r="B9" s="83"/>
      <c r="C9" s="26"/>
      <c r="D9" s="84">
        <v>167068.54</v>
      </c>
      <c r="E9" s="24">
        <v>1</v>
      </c>
      <c r="F9" s="69">
        <f t="shared" si="0"/>
        <v>167068.54</v>
      </c>
    </row>
    <row r="10" spans="1:8" ht="15" thickBot="1" x14ac:dyDescent="0.35">
      <c r="A10" s="82" t="s">
        <v>213</v>
      </c>
      <c r="B10" s="83" t="s">
        <v>216</v>
      </c>
      <c r="C10" s="26"/>
      <c r="D10" s="84">
        <v>257780.46</v>
      </c>
      <c r="E10" s="23">
        <v>1</v>
      </c>
      <c r="F10" s="69">
        <f t="shared" si="0"/>
        <v>257780.46</v>
      </c>
    </row>
    <row r="11" spans="1:8" ht="15" thickBot="1" x14ac:dyDescent="0.35">
      <c r="A11" s="82" t="s">
        <v>214</v>
      </c>
      <c r="B11" s="83" t="s">
        <v>84</v>
      </c>
      <c r="C11" s="26"/>
      <c r="D11" s="84">
        <v>113729.56</v>
      </c>
      <c r="E11" s="24">
        <v>1</v>
      </c>
      <c r="F11" s="69">
        <f t="shared" si="0"/>
        <v>113729.56</v>
      </c>
    </row>
    <row r="12" spans="1:8" ht="15" thickBot="1" x14ac:dyDescent="0.35">
      <c r="A12" s="82" t="s">
        <v>215</v>
      </c>
      <c r="B12" s="83" t="s">
        <v>221</v>
      </c>
      <c r="C12" s="26"/>
      <c r="D12" s="84">
        <v>88623.52</v>
      </c>
      <c r="E12" s="86">
        <v>0.5</v>
      </c>
      <c r="F12" s="69">
        <f t="shared" si="0"/>
        <v>44311.76</v>
      </c>
    </row>
    <row r="13" spans="1:8" x14ac:dyDescent="0.3">
      <c r="D13" s="22"/>
      <c r="E13" s="86"/>
      <c r="F13" s="22"/>
    </row>
    <row r="14" spans="1:8" x14ac:dyDescent="0.3">
      <c r="D14" s="22"/>
      <c r="E14" s="86"/>
      <c r="F14" s="22"/>
    </row>
    <row r="15" spans="1:8" x14ac:dyDescent="0.3">
      <c r="D15" s="22"/>
      <c r="E15" s="86"/>
      <c r="F15" s="22"/>
    </row>
    <row r="16" spans="1:8" x14ac:dyDescent="0.3">
      <c r="D16" s="22"/>
      <c r="E16" s="86"/>
      <c r="F16" s="22"/>
    </row>
    <row r="17" spans="4:6" x14ac:dyDescent="0.3">
      <c r="D17" s="22"/>
      <c r="E17" s="86"/>
      <c r="F17" s="22"/>
    </row>
    <row r="18" spans="4:6" x14ac:dyDescent="0.3">
      <c r="D18" s="22"/>
      <c r="E18" s="86"/>
      <c r="F18" s="22"/>
    </row>
    <row r="19" spans="4:6" x14ac:dyDescent="0.3">
      <c r="D19" s="22"/>
      <c r="E19" s="86"/>
      <c r="F19" s="22"/>
    </row>
    <row r="20" spans="4:6" x14ac:dyDescent="0.3">
      <c r="D20" s="22"/>
      <c r="E20" s="86"/>
      <c r="F20" s="22"/>
    </row>
    <row r="21" spans="4:6" x14ac:dyDescent="0.3">
      <c r="D21" s="22"/>
      <c r="E21" s="86"/>
      <c r="F21" s="22"/>
    </row>
    <row r="22" spans="4:6" x14ac:dyDescent="0.3">
      <c r="D22" s="22"/>
      <c r="E22" s="86"/>
      <c r="F22" s="2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AB10E-1C54-4103-848A-43B4C8F52BCA}">
  <dimension ref="A1:I24"/>
  <sheetViews>
    <sheetView workbookViewId="0">
      <selection activeCell="A2" sqref="A2"/>
    </sheetView>
  </sheetViews>
  <sheetFormatPr defaultColWidth="8.109375" defaultRowHeight="14.4" x14ac:dyDescent="0.3"/>
  <cols>
    <col min="1" max="1" width="35.33203125" customWidth="1"/>
    <col min="2" max="2" width="5.33203125" bestFit="1" customWidth="1"/>
    <col min="3" max="3" width="20.6640625" customWidth="1"/>
    <col min="4" max="4" width="7.88671875" bestFit="1" customWidth="1"/>
    <col min="5" max="5" width="11.77734375" style="48" customWidth="1"/>
    <col min="6" max="6" width="7" style="46" bestFit="1" customWidth="1"/>
    <col min="8" max="8" width="18.33203125" bestFit="1" customWidth="1"/>
    <col min="9" max="9" width="5.6640625" bestFit="1" customWidth="1"/>
  </cols>
  <sheetData>
    <row r="1" spans="1:9" ht="28.8" x14ac:dyDescent="0.3">
      <c r="A1" s="11" t="s">
        <v>64</v>
      </c>
      <c r="B1" s="11" t="s">
        <v>61</v>
      </c>
      <c r="C1" s="38" t="s">
        <v>29</v>
      </c>
      <c r="D1" s="12" t="s">
        <v>65</v>
      </c>
      <c r="E1" s="39" t="s">
        <v>62</v>
      </c>
      <c r="F1" s="40" t="s">
        <v>87</v>
      </c>
      <c r="G1" s="41"/>
      <c r="H1" s="17" t="s">
        <v>91</v>
      </c>
      <c r="I1" s="46">
        <f>SUMIF(C:C,"general",F:F)</f>
        <v>0</v>
      </c>
    </row>
    <row r="2" spans="1:9" x14ac:dyDescent="0.3">
      <c r="A2" s="12"/>
      <c r="B2" s="14" t="s">
        <v>63</v>
      </c>
      <c r="C2" s="31"/>
      <c r="D2" s="43"/>
      <c r="E2" s="44"/>
      <c r="F2" s="45">
        <f>D2*E2</f>
        <v>0</v>
      </c>
      <c r="G2" s="9"/>
      <c r="H2" s="17" t="s">
        <v>92</v>
      </c>
      <c r="I2">
        <f>SUMIF(C:C,"software",F:F)</f>
        <v>0</v>
      </c>
    </row>
    <row r="3" spans="1:9" x14ac:dyDescent="0.3">
      <c r="A3" s="16"/>
      <c r="B3" s="16"/>
      <c r="C3" s="31"/>
      <c r="D3" s="16"/>
      <c r="E3" s="47"/>
      <c r="F3" s="45">
        <f t="shared" ref="F3:F24" si="0">D3*E3</f>
        <v>0</v>
      </c>
      <c r="G3" s="9"/>
      <c r="H3" s="4" t="s">
        <v>7</v>
      </c>
      <c r="I3" s="42">
        <f>I1+I2</f>
        <v>0</v>
      </c>
    </row>
    <row r="4" spans="1:9" x14ac:dyDescent="0.3">
      <c r="A4" s="16"/>
      <c r="B4" s="16"/>
      <c r="C4" s="31"/>
      <c r="D4" s="16"/>
      <c r="E4" s="47"/>
      <c r="F4" s="45">
        <f t="shared" si="0"/>
        <v>0</v>
      </c>
    </row>
    <row r="5" spans="1:9" x14ac:dyDescent="0.3">
      <c r="A5" s="16"/>
      <c r="B5" s="16"/>
      <c r="C5" s="31"/>
      <c r="D5" s="16"/>
      <c r="E5" s="47"/>
      <c r="F5" s="45">
        <f t="shared" si="0"/>
        <v>0</v>
      </c>
      <c r="G5" s="41"/>
    </row>
    <row r="6" spans="1:9" x14ac:dyDescent="0.3">
      <c r="A6" s="16"/>
      <c r="B6" s="16"/>
      <c r="C6" s="31"/>
      <c r="D6" s="16"/>
      <c r="E6" s="47"/>
      <c r="F6" s="45">
        <f t="shared" si="0"/>
        <v>0</v>
      </c>
      <c r="G6" s="9"/>
    </row>
    <row r="7" spans="1:9" x14ac:dyDescent="0.3">
      <c r="A7" s="16"/>
      <c r="B7" s="16"/>
      <c r="C7" s="31"/>
      <c r="D7" s="16"/>
      <c r="E7" s="47"/>
      <c r="F7" s="45">
        <f t="shared" si="0"/>
        <v>0</v>
      </c>
      <c r="G7" s="9"/>
    </row>
    <row r="8" spans="1:9" x14ac:dyDescent="0.3">
      <c r="A8" s="16"/>
      <c r="B8" s="16"/>
      <c r="C8" s="31"/>
      <c r="D8" s="16"/>
      <c r="E8" s="47"/>
      <c r="F8" s="45">
        <f t="shared" si="0"/>
        <v>0</v>
      </c>
    </row>
    <row r="9" spans="1:9" x14ac:dyDescent="0.3">
      <c r="A9" s="16"/>
      <c r="B9" s="16"/>
      <c r="C9" s="31"/>
      <c r="D9" s="16"/>
      <c r="E9" s="47"/>
      <c r="F9" s="45">
        <f t="shared" si="0"/>
        <v>0</v>
      </c>
    </row>
    <row r="10" spans="1:9" x14ac:dyDescent="0.3">
      <c r="A10" s="16"/>
      <c r="B10" s="16"/>
      <c r="C10" s="31"/>
      <c r="D10" s="16"/>
      <c r="E10" s="47"/>
      <c r="F10" s="45">
        <f t="shared" si="0"/>
        <v>0</v>
      </c>
    </row>
    <row r="11" spans="1:9" x14ac:dyDescent="0.3">
      <c r="A11" s="16"/>
      <c r="B11" s="16"/>
      <c r="C11" s="31"/>
      <c r="D11" s="16"/>
      <c r="E11" s="47"/>
      <c r="F11" s="45">
        <f t="shared" si="0"/>
        <v>0</v>
      </c>
    </row>
    <row r="12" spans="1:9" x14ac:dyDescent="0.3">
      <c r="A12" s="16"/>
      <c r="B12" s="16"/>
      <c r="C12" s="31"/>
      <c r="D12" s="16"/>
      <c r="E12" s="47"/>
      <c r="F12" s="45">
        <f t="shared" si="0"/>
        <v>0</v>
      </c>
    </row>
    <row r="13" spans="1:9" x14ac:dyDescent="0.3">
      <c r="A13" s="12"/>
      <c r="B13" s="14"/>
      <c r="C13" s="49"/>
      <c r="D13" s="16"/>
      <c r="E13" s="44"/>
      <c r="F13" s="45">
        <f t="shared" si="0"/>
        <v>0</v>
      </c>
    </row>
    <row r="14" spans="1:9" x14ac:dyDescent="0.3">
      <c r="A14" s="12"/>
      <c r="B14" s="14"/>
      <c r="C14" s="49"/>
      <c r="D14" s="16"/>
      <c r="E14" s="44"/>
      <c r="F14" s="45">
        <f t="shared" si="0"/>
        <v>0</v>
      </c>
    </row>
    <row r="15" spans="1:9" x14ac:dyDescent="0.3">
      <c r="A15" s="50"/>
      <c r="B15" s="16"/>
      <c r="C15" s="49"/>
      <c r="D15" s="16"/>
      <c r="E15" s="47"/>
      <c r="F15" s="45">
        <f t="shared" si="0"/>
        <v>0</v>
      </c>
    </row>
    <row r="16" spans="1:9" x14ac:dyDescent="0.3">
      <c r="A16" s="51"/>
      <c r="B16" s="16"/>
      <c r="C16" s="49"/>
      <c r="D16" s="16"/>
      <c r="E16" s="44"/>
      <c r="F16" s="45">
        <f t="shared" si="0"/>
        <v>0</v>
      </c>
    </row>
    <row r="17" spans="1:6" x14ac:dyDescent="0.3">
      <c r="A17" s="51"/>
      <c r="B17" s="16"/>
      <c r="C17" s="49"/>
      <c r="D17" s="16"/>
      <c r="E17" s="47"/>
      <c r="F17" s="45">
        <f t="shared" si="0"/>
        <v>0</v>
      </c>
    </row>
    <row r="18" spans="1:6" x14ac:dyDescent="0.3">
      <c r="A18" s="50"/>
      <c r="B18" s="16"/>
      <c r="C18" s="49"/>
      <c r="D18" s="16"/>
      <c r="E18" s="47"/>
      <c r="F18" s="45">
        <f t="shared" si="0"/>
        <v>0</v>
      </c>
    </row>
    <row r="19" spans="1:6" x14ac:dyDescent="0.3">
      <c r="A19" s="50"/>
      <c r="B19" s="16"/>
      <c r="C19" s="49"/>
      <c r="D19" s="16"/>
      <c r="E19" s="47"/>
      <c r="F19" s="45">
        <f t="shared" si="0"/>
        <v>0</v>
      </c>
    </row>
    <row r="20" spans="1:6" x14ac:dyDescent="0.3">
      <c r="A20" s="50"/>
      <c r="B20" s="16"/>
      <c r="C20" s="49"/>
      <c r="D20" s="16"/>
      <c r="E20" s="47"/>
      <c r="F20" s="45">
        <f t="shared" si="0"/>
        <v>0</v>
      </c>
    </row>
    <row r="21" spans="1:6" x14ac:dyDescent="0.3">
      <c r="A21" s="50"/>
      <c r="B21" s="16"/>
      <c r="C21" s="16"/>
      <c r="D21" s="16"/>
      <c r="E21" s="47"/>
      <c r="F21" s="45">
        <f t="shared" si="0"/>
        <v>0</v>
      </c>
    </row>
    <row r="22" spans="1:6" x14ac:dyDescent="0.3">
      <c r="A22" s="50"/>
      <c r="B22" s="16"/>
      <c r="C22" s="16"/>
      <c r="D22" s="16"/>
      <c r="E22" s="47"/>
      <c r="F22" s="45">
        <f t="shared" si="0"/>
        <v>0</v>
      </c>
    </row>
    <row r="23" spans="1:6" x14ac:dyDescent="0.3">
      <c r="A23" s="50"/>
      <c r="B23" s="16"/>
      <c r="C23" s="16"/>
      <c r="D23" s="16"/>
      <c r="E23" s="47"/>
      <c r="F23" s="45">
        <f t="shared" si="0"/>
        <v>0</v>
      </c>
    </row>
    <row r="24" spans="1:6" x14ac:dyDescent="0.3">
      <c r="F24" s="45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17BC-06B4-4ED2-8150-6292E3A20586}">
  <dimension ref="A1:O5"/>
  <sheetViews>
    <sheetView workbookViewId="0">
      <selection activeCell="K30" sqref="K30"/>
    </sheetView>
  </sheetViews>
  <sheetFormatPr defaultRowHeight="14.4" x14ac:dyDescent="0.3"/>
  <cols>
    <col min="1" max="1" width="23" bestFit="1" customWidth="1"/>
    <col min="2" max="2" width="10.21875" bestFit="1" customWidth="1"/>
    <col min="3" max="3" width="10" bestFit="1" customWidth="1"/>
    <col min="4" max="4" width="8.5546875" bestFit="1" customWidth="1"/>
    <col min="5" max="5" width="15.109375" bestFit="1" customWidth="1"/>
    <col min="6" max="6" width="9.88671875" style="3" bestFit="1" customWidth="1"/>
    <col min="7" max="7" width="14.88671875" style="3" bestFit="1" customWidth="1"/>
    <col min="8" max="8" width="9.88671875" bestFit="1" customWidth="1"/>
    <col min="9" max="9" width="27.44140625" bestFit="1" customWidth="1"/>
    <col min="10" max="10" width="7.77734375" bestFit="1" customWidth="1"/>
    <col min="11" max="11" width="12.88671875" bestFit="1" customWidth="1"/>
    <col min="12" max="12" width="10" bestFit="1" customWidth="1"/>
    <col min="13" max="13" width="8.5546875" bestFit="1" customWidth="1"/>
    <col min="14" max="14" width="44.6640625" bestFit="1" customWidth="1"/>
    <col min="15" max="15" width="9.88671875" style="3" bestFit="1" customWidth="1"/>
    <col min="16" max="16" width="18.5546875" bestFit="1" customWidth="1"/>
    <col min="17" max="17" width="11.109375" bestFit="1" customWidth="1"/>
  </cols>
  <sheetData>
    <row r="1" spans="1:8" ht="28.8" x14ac:dyDescent="0.3">
      <c r="A1" s="11" t="s">
        <v>66</v>
      </c>
      <c r="B1" s="11" t="s">
        <v>61</v>
      </c>
      <c r="C1" s="12" t="s">
        <v>65</v>
      </c>
      <c r="D1" s="12" t="s">
        <v>62</v>
      </c>
      <c r="E1" s="73" t="s">
        <v>16</v>
      </c>
      <c r="F1" s="74" t="s">
        <v>87</v>
      </c>
      <c r="G1" s="17" t="s">
        <v>89</v>
      </c>
      <c r="H1" s="72">
        <f>SUM(F:F)</f>
        <v>12222.334999999999</v>
      </c>
    </row>
    <row r="2" spans="1:8" x14ac:dyDescent="0.3">
      <c r="A2" s="70" t="s">
        <v>201</v>
      </c>
      <c r="B2" s="14"/>
      <c r="C2" s="71">
        <v>24444.67</v>
      </c>
      <c r="D2" s="15">
        <v>0.5</v>
      </c>
      <c r="E2" s="15"/>
      <c r="F2" s="32">
        <f>C2*D2</f>
        <v>12222.334999999999</v>
      </c>
      <c r="H2" s="9"/>
    </row>
    <row r="3" spans="1:8" x14ac:dyDescent="0.3">
      <c r="A3" s="29"/>
      <c r="B3" s="14"/>
      <c r="C3" s="30"/>
      <c r="D3" s="15"/>
      <c r="E3" s="15"/>
      <c r="F3" s="32"/>
      <c r="G3" s="28"/>
      <c r="H3" s="9"/>
    </row>
    <row r="4" spans="1:8" x14ac:dyDescent="0.3">
      <c r="A4" s="29"/>
      <c r="B4" s="14"/>
      <c r="C4" s="30"/>
      <c r="D4" s="15"/>
      <c r="E4" s="15"/>
      <c r="F4" s="32"/>
      <c r="G4" s="28"/>
      <c r="H4" s="9"/>
    </row>
    <row r="5" spans="1:8" x14ac:dyDescent="0.3">
      <c r="A5" s="29"/>
      <c r="B5" s="14"/>
      <c r="C5" s="30"/>
      <c r="D5" s="15"/>
      <c r="E5" s="15"/>
      <c r="F5" s="32"/>
      <c r="G5" s="28"/>
      <c r="H5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754BC-CC14-4EC2-BC2D-900625DE46C3}">
  <dimension ref="A1:H12"/>
  <sheetViews>
    <sheetView workbookViewId="0">
      <selection sqref="A1:XFD1048576"/>
    </sheetView>
  </sheetViews>
  <sheetFormatPr defaultRowHeight="14.4" x14ac:dyDescent="0.3"/>
  <cols>
    <col min="1" max="1" width="27.44140625" bestFit="1" customWidth="1"/>
    <col min="2" max="2" width="7.77734375" bestFit="1" customWidth="1"/>
    <col min="3" max="3" width="10" bestFit="1" customWidth="1"/>
    <col min="4" max="4" width="10.44140625" bestFit="1" customWidth="1"/>
    <col min="5" max="5" width="44.6640625" bestFit="1" customWidth="1"/>
    <col min="6" max="6" width="9.88671875" bestFit="1" customWidth="1"/>
    <col min="7" max="7" width="18.5546875" bestFit="1" customWidth="1"/>
    <col min="8" max="8" width="11.109375" bestFit="1" customWidth="1"/>
  </cols>
  <sheetData>
    <row r="1" spans="1:8" ht="28.8" x14ac:dyDescent="0.3">
      <c r="A1" s="75" t="s">
        <v>66</v>
      </c>
      <c r="B1" s="75" t="s">
        <v>79</v>
      </c>
      <c r="C1" s="76" t="s">
        <v>65</v>
      </c>
      <c r="D1" s="76" t="s">
        <v>62</v>
      </c>
      <c r="E1" s="77" t="s">
        <v>16</v>
      </c>
      <c r="F1" s="78" t="s">
        <v>87</v>
      </c>
      <c r="G1" s="17" t="s">
        <v>90</v>
      </c>
      <c r="H1" s="42">
        <f>SUM(F$1:F$12)</f>
        <v>0</v>
      </c>
    </row>
    <row r="2" spans="1:8" x14ac:dyDescent="0.3">
      <c r="A2" s="29"/>
      <c r="B2" s="18"/>
      <c r="C2" s="30"/>
      <c r="D2" s="15"/>
      <c r="E2" s="31"/>
      <c r="F2" s="50"/>
    </row>
    <row r="3" spans="1:8" x14ac:dyDescent="0.3">
      <c r="A3" s="29"/>
      <c r="B3" s="18"/>
      <c r="C3" s="30"/>
      <c r="D3" s="15"/>
      <c r="E3" s="31"/>
      <c r="F3" s="50"/>
    </row>
    <row r="4" spans="1:8" x14ac:dyDescent="0.3">
      <c r="A4" s="29"/>
      <c r="B4" s="18"/>
      <c r="C4" s="30"/>
      <c r="D4" s="15"/>
      <c r="E4" s="31"/>
      <c r="F4" s="50"/>
    </row>
    <row r="5" spans="1:8" x14ac:dyDescent="0.3">
      <c r="A5" s="29"/>
      <c r="B5" s="18"/>
      <c r="C5" s="30"/>
      <c r="D5" s="15"/>
      <c r="E5" s="31"/>
      <c r="F5" s="50"/>
    </row>
    <row r="6" spans="1:8" x14ac:dyDescent="0.3">
      <c r="A6" s="29"/>
      <c r="B6" s="18"/>
      <c r="C6" s="30"/>
      <c r="D6" s="15"/>
      <c r="E6" s="16"/>
      <c r="F6" s="50"/>
    </row>
    <row r="7" spans="1:8" x14ac:dyDescent="0.3">
      <c r="A7" s="29"/>
      <c r="B7" s="18"/>
      <c r="C7" s="30"/>
      <c r="D7" s="15"/>
      <c r="E7" s="31"/>
      <c r="F7" s="50"/>
    </row>
    <row r="8" spans="1:8" x14ac:dyDescent="0.3">
      <c r="A8" s="29"/>
      <c r="B8" s="18"/>
      <c r="C8" s="30"/>
      <c r="D8" s="15"/>
      <c r="E8" s="31"/>
      <c r="F8" s="50"/>
    </row>
    <row r="9" spans="1:8" x14ac:dyDescent="0.3">
      <c r="A9" s="29"/>
      <c r="B9" s="18"/>
      <c r="C9" s="30"/>
      <c r="D9" s="15"/>
      <c r="E9" s="31"/>
      <c r="F9" s="50"/>
    </row>
    <row r="10" spans="1:8" x14ac:dyDescent="0.3">
      <c r="A10" s="29"/>
      <c r="B10" s="18"/>
      <c r="C10" s="30"/>
      <c r="D10" s="15"/>
      <c r="E10" s="31"/>
      <c r="F10" s="50"/>
    </row>
    <row r="11" spans="1:8" x14ac:dyDescent="0.3">
      <c r="A11" s="29"/>
      <c r="B11" s="18"/>
      <c r="C11" s="30"/>
      <c r="D11" s="15"/>
      <c r="E11" s="31"/>
      <c r="F11" s="50"/>
    </row>
    <row r="12" spans="1:8" x14ac:dyDescent="0.3">
      <c r="A12" s="29"/>
      <c r="B12" s="18"/>
      <c r="C12" s="30"/>
      <c r="D12" s="15"/>
      <c r="E12" s="31"/>
      <c r="F12" s="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B749-D154-407D-9BE3-719D01BCFEE6}">
  <dimension ref="A1:C10"/>
  <sheetViews>
    <sheetView workbookViewId="0">
      <selection activeCell="B2" sqref="B2:C10"/>
    </sheetView>
  </sheetViews>
  <sheetFormatPr defaultRowHeight="14.4" x14ac:dyDescent="0.3"/>
  <cols>
    <col min="1" max="1" width="43" customWidth="1"/>
    <col min="2" max="2" width="10.5546875" bestFit="1" customWidth="1"/>
    <col min="3" max="3" width="9" bestFit="1" customWidth="1"/>
  </cols>
  <sheetData>
    <row r="1" spans="1:3" ht="28.2" thickBot="1" x14ac:dyDescent="0.35">
      <c r="A1" s="6" t="s">
        <v>67</v>
      </c>
      <c r="B1" s="7" t="s">
        <v>81</v>
      </c>
      <c r="C1" s="7" t="s">
        <v>82</v>
      </c>
    </row>
    <row r="2" spans="1:3" ht="30" thickTop="1" thickBot="1" x14ac:dyDescent="0.35">
      <c r="A2" s="5" t="s">
        <v>68</v>
      </c>
      <c r="B2" s="79"/>
      <c r="C2" s="79"/>
    </row>
    <row r="3" spans="1:3" ht="15" thickBot="1" x14ac:dyDescent="0.35">
      <c r="A3" s="5" t="s">
        <v>69</v>
      </c>
      <c r="B3" s="79" t="s">
        <v>70</v>
      </c>
      <c r="C3" s="79" t="s">
        <v>70</v>
      </c>
    </row>
    <row r="4" spans="1:3" ht="15" thickBot="1" x14ac:dyDescent="0.35">
      <c r="A4" s="5" t="s">
        <v>71</v>
      </c>
      <c r="B4" s="79" t="s">
        <v>70</v>
      </c>
      <c r="C4" s="79" t="s">
        <v>70</v>
      </c>
    </row>
    <row r="5" spans="1:3" ht="15" thickBot="1" x14ac:dyDescent="0.35">
      <c r="A5" s="5" t="s">
        <v>72</v>
      </c>
      <c r="B5" s="79" t="s">
        <v>70</v>
      </c>
      <c r="C5" s="79" t="s">
        <v>70</v>
      </c>
    </row>
    <row r="6" spans="1:3" ht="15" thickBot="1" x14ac:dyDescent="0.35">
      <c r="A6" s="5" t="s">
        <v>73</v>
      </c>
      <c r="B6" s="79" t="s">
        <v>70</v>
      </c>
      <c r="C6" s="79" t="s">
        <v>70</v>
      </c>
    </row>
    <row r="7" spans="1:3" ht="15" thickBot="1" x14ac:dyDescent="0.35">
      <c r="A7" s="5" t="s">
        <v>74</v>
      </c>
      <c r="B7" s="79" t="s">
        <v>70</v>
      </c>
      <c r="C7" s="79" t="s">
        <v>70</v>
      </c>
    </row>
    <row r="8" spans="1:3" ht="15" thickBot="1" x14ac:dyDescent="0.35">
      <c r="A8" s="5" t="s">
        <v>75</v>
      </c>
      <c r="B8" s="79" t="s">
        <v>70</v>
      </c>
      <c r="C8" s="79" t="s">
        <v>70</v>
      </c>
    </row>
    <row r="9" spans="1:3" ht="15" thickBot="1" x14ac:dyDescent="0.35">
      <c r="A9" s="5" t="s">
        <v>76</v>
      </c>
      <c r="B9" s="79" t="s">
        <v>70</v>
      </c>
      <c r="C9" s="79" t="s">
        <v>70</v>
      </c>
    </row>
    <row r="10" spans="1:3" ht="15" thickBot="1" x14ac:dyDescent="0.35">
      <c r="A10" s="5" t="s">
        <v>77</v>
      </c>
      <c r="B10" s="80">
        <f>SUM(B2:B9)</f>
        <v>0</v>
      </c>
      <c r="C10" s="80">
        <f>SUM(C2:C9)</f>
        <v>0</v>
      </c>
    </row>
  </sheetData>
  <phoneticPr fontId="2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54354-459F-4E41-8066-40FB38D28730}">
  <dimension ref="A1:C3"/>
  <sheetViews>
    <sheetView workbookViewId="0">
      <selection activeCell="B13" sqref="B13"/>
    </sheetView>
  </sheetViews>
  <sheetFormatPr defaultRowHeight="14.4" x14ac:dyDescent="0.3"/>
  <cols>
    <col min="1" max="1" width="14" bestFit="1" customWidth="1"/>
    <col min="2" max="2" width="30.21875" bestFit="1" customWidth="1"/>
    <col min="3" max="3" width="16" bestFit="1" customWidth="1"/>
  </cols>
  <sheetData>
    <row r="1" spans="1:3" ht="28.8" x14ac:dyDescent="0.3">
      <c r="A1" s="52" t="s">
        <v>96</v>
      </c>
      <c r="B1" s="52" t="s">
        <v>97</v>
      </c>
      <c r="C1" s="52" t="s">
        <v>98</v>
      </c>
    </row>
    <row r="2" spans="1:3" x14ac:dyDescent="0.3">
      <c r="B2" s="17" t="s">
        <v>99</v>
      </c>
      <c r="C2" s="17" t="s">
        <v>37</v>
      </c>
    </row>
    <row r="3" spans="1:3" x14ac:dyDescent="0.3">
      <c r="B3" s="17" t="s">
        <v>100</v>
      </c>
      <c r="C3" s="17" t="s">
        <v>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1171-F33B-4483-8EDF-87876903F01C}">
  <dimension ref="A1:B9"/>
  <sheetViews>
    <sheetView workbookViewId="0">
      <selection activeCell="A2" sqref="A2"/>
    </sheetView>
  </sheetViews>
  <sheetFormatPr defaultRowHeight="14.4" x14ac:dyDescent="0.3"/>
  <cols>
    <col min="1" max="1" width="18.6640625" bestFit="1" customWidth="1"/>
    <col min="2" max="2" width="20.6640625" bestFit="1" customWidth="1"/>
  </cols>
  <sheetData>
    <row r="1" spans="1:2" x14ac:dyDescent="0.3">
      <c r="A1" s="2" t="s">
        <v>17</v>
      </c>
      <c r="B1" s="2" t="s">
        <v>18</v>
      </c>
    </row>
    <row r="2" spans="1:2" x14ac:dyDescent="0.3">
      <c r="B2" s="10" t="s">
        <v>19</v>
      </c>
    </row>
    <row r="3" spans="1:2" x14ac:dyDescent="0.3">
      <c r="A3" s="10" t="s">
        <v>20</v>
      </c>
      <c r="B3" s="10" t="s">
        <v>21</v>
      </c>
    </row>
    <row r="4" spans="1:2" x14ac:dyDescent="0.3">
      <c r="B4" s="10" t="s">
        <v>22</v>
      </c>
    </row>
    <row r="5" spans="1:2" x14ac:dyDescent="0.3">
      <c r="B5" s="10" t="s">
        <v>23</v>
      </c>
    </row>
    <row r="6" spans="1:2" x14ac:dyDescent="0.3">
      <c r="B6" s="10" t="s">
        <v>24</v>
      </c>
    </row>
    <row r="7" spans="1:2" x14ac:dyDescent="0.3">
      <c r="B7" s="10" t="s">
        <v>25</v>
      </c>
    </row>
    <row r="8" spans="1:2" x14ac:dyDescent="0.3">
      <c r="B8" s="10" t="s">
        <v>26</v>
      </c>
    </row>
    <row r="9" spans="1:2" x14ac:dyDescent="0.3">
      <c r="B9" s="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Calculation_Data</vt:lpstr>
      <vt:lpstr>R&amp;D TAX CREDIT</vt:lpstr>
      <vt:lpstr>P&amp;L</vt:lpstr>
      <vt:lpstr>Company Overview</vt:lpstr>
      <vt:lpstr>Project Overview</vt:lpstr>
      <vt:lpstr>Wage QRE</vt:lpstr>
      <vt:lpstr>Supply QRE</vt:lpstr>
      <vt:lpstr>Contractor US</vt:lpstr>
      <vt:lpstr>Contractor Foreign</vt:lpstr>
      <vt:lpstr>Gross Receipts</vt:lpstr>
      <vt:lpstr>Comments</vt:lpstr>
      <vt:lpstr>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Constantinescu</dc:creator>
  <cp:lastModifiedBy>Andreea Constantinescu</cp:lastModifiedBy>
  <dcterms:created xsi:type="dcterms:W3CDTF">2026-06-19T20:34:45Z</dcterms:created>
  <dcterms:modified xsi:type="dcterms:W3CDTF">2026-06-25T18:53:03Z</dcterms:modified>
</cp:coreProperties>
</file>